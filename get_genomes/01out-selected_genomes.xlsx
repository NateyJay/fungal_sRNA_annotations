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/🔬Research/🔍2024 - fungal_sRNA_annotations/get_genomes/"/>
    </mc:Choice>
  </mc:AlternateContent>
  <xr:revisionPtr revIDLastSave="0" documentId="13_ncr:1_{CE0AEB15-95CE-0F4D-8901-A4BF3AD5A84B}" xr6:coauthVersionLast="47" xr6:coauthVersionMax="47" xr10:uidLastSave="{00000000-0000-0000-0000-000000000000}"/>
  <bookViews>
    <workbookView xWindow="860" yWindow="760" windowWidth="29380" windowHeight="18880" xr2:uid="{050A1469-12E0-7640-86FF-843EE1A58175}"/>
  </bookViews>
  <sheets>
    <sheet name="01out-selected_geno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4" i="1" l="1"/>
  <c r="B185" i="1"/>
  <c r="B186" i="1"/>
  <c r="B187" i="1"/>
  <c r="B188" i="1"/>
  <c r="B189" i="1"/>
  <c r="B190" i="1"/>
  <c r="B191" i="1"/>
  <c r="B172" i="1"/>
  <c r="B173" i="1"/>
  <c r="B174" i="1"/>
  <c r="B175" i="1"/>
  <c r="B145" i="1"/>
  <c r="B146" i="1"/>
  <c r="B147" i="1"/>
  <c r="B148" i="1"/>
  <c r="B149" i="1"/>
  <c r="B150" i="1"/>
  <c r="B151" i="1"/>
  <c r="B139" i="1"/>
  <c r="B140" i="1"/>
  <c r="B141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73" i="1"/>
  <c r="B74" i="1"/>
  <c r="B75" i="1"/>
  <c r="B76" i="1"/>
  <c r="B36" i="1"/>
  <c r="B37" i="1"/>
  <c r="B38" i="1"/>
  <c r="B26" i="1"/>
  <c r="B27" i="1"/>
  <c r="B28" i="1"/>
  <c r="B29" i="1"/>
  <c r="B30" i="1"/>
  <c r="B31" i="1"/>
  <c r="B7" i="1"/>
  <c r="B8" i="1"/>
  <c r="B9" i="1"/>
  <c r="B10" i="1"/>
  <c r="B11" i="1"/>
  <c r="B2" i="1"/>
  <c r="B3" i="1"/>
  <c r="B4" i="1"/>
  <c r="B5" i="1"/>
  <c r="B6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32" i="1"/>
  <c r="B33" i="1"/>
  <c r="B34" i="1"/>
  <c r="B35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42" i="1"/>
  <c r="B143" i="1"/>
  <c r="B144" i="1"/>
  <c r="B152" i="1"/>
  <c r="B153" i="1"/>
  <c r="B154" i="1"/>
  <c r="B155" i="1"/>
  <c r="B156" i="1"/>
  <c r="B157" i="1"/>
  <c r="B158" i="1"/>
  <c r="B159" i="1"/>
  <c r="B160" i="1"/>
  <c r="B161" i="1"/>
  <c r="B162" i="1"/>
  <c r="B165" i="1"/>
  <c r="B166" i="1"/>
  <c r="B163" i="1"/>
  <c r="B164" i="1"/>
  <c r="B167" i="1"/>
  <c r="B168" i="1"/>
  <c r="B169" i="1"/>
  <c r="B170" i="1"/>
  <c r="B171" i="1"/>
  <c r="B176" i="1"/>
  <c r="B177" i="1"/>
  <c r="B178" i="1"/>
  <c r="B179" i="1"/>
  <c r="B180" i="1"/>
  <c r="B181" i="1"/>
  <c r="B182" i="1"/>
  <c r="B183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</calcChain>
</file>

<file path=xl/sharedStrings.xml><?xml version="1.0" encoding="utf-8"?>
<sst xmlns="http://schemas.openxmlformats.org/spreadsheetml/2006/main" count="1867" uniqueCount="709">
  <si>
    <t>abbv</t>
  </si>
  <si>
    <t>organism</t>
  </si>
  <si>
    <t>accession</t>
  </si>
  <si>
    <t>assembly_name</t>
  </si>
  <si>
    <t>assembly_level</t>
  </si>
  <si>
    <t>refseq_category</t>
  </si>
  <si>
    <t>submitter</t>
  </si>
  <si>
    <t>asm_release_date</t>
  </si>
  <si>
    <t>num_seqs</t>
  </si>
  <si>
    <t>tot_length</t>
  </si>
  <si>
    <t>ann_name</t>
  </si>
  <si>
    <t>ann_release_date</t>
  </si>
  <si>
    <t>gene_counts</t>
  </si>
  <si>
    <t>Agbis</t>
  </si>
  <si>
    <t>Agaricus bisporus</t>
  </si>
  <si>
    <t>GCF_000300575.1</t>
  </si>
  <si>
    <t>Agabi_varbisH97_2</t>
  </si>
  <si>
    <t>Scaffold</t>
  </si>
  <si>
    <t>reference genome</t>
  </si>
  <si>
    <t>JGI</t>
  </si>
  <si>
    <t>Annotation submitted by NCBI RefSeq</t>
  </si>
  <si>
    <t>GCA_000300575.2</t>
  </si>
  <si>
    <t>ASM30057v2</t>
  </si>
  <si>
    <t>Chromosome</t>
  </si>
  <si>
    <t>JGI-PSF</t>
  </si>
  <si>
    <t>Alalt</t>
  </si>
  <si>
    <t>Alternaria alternata</t>
  </si>
  <si>
    <t>GCF_001642055.1</t>
  </si>
  <si>
    <t>Altal1</t>
  </si>
  <si>
    <t>DOE Joint Genome Institute</t>
  </si>
  <si>
    <t>Albra</t>
  </si>
  <si>
    <t>Alternaria brassicicola</t>
  </si>
  <si>
    <t>GCA_002796735.1</t>
  </si>
  <si>
    <t>ASM279673v1</t>
  </si>
  <si>
    <t>Contig</t>
  </si>
  <si>
    <t>IRHS</t>
  </si>
  <si>
    <t>Asrab</t>
  </si>
  <si>
    <t>Ascochyta rabiei</t>
  </si>
  <si>
    <t>GCF_004011695.2</t>
  </si>
  <si>
    <t>ASM401169v2</t>
  </si>
  <si>
    <t>Complete Genome</t>
  </si>
  <si>
    <t>Curtin University</t>
  </si>
  <si>
    <t>Annotation submitted by Curtin University</t>
  </si>
  <si>
    <t>Asapi</t>
  </si>
  <si>
    <t>Ascosphaera apis</t>
  </si>
  <si>
    <t>GCA_001636715.1</t>
  </si>
  <si>
    <t>AAP 1.0</t>
  </si>
  <si>
    <t>Shanghai Institutes for Biological Sciences, CAS</t>
  </si>
  <si>
    <t>Annotation submitted by Shanghai Institutes for Biological Sciences, CAS</t>
  </si>
  <si>
    <t>Asfla</t>
  </si>
  <si>
    <t>Aspergillus flavus</t>
  </si>
  <si>
    <t>GCF_009017415.1</t>
  </si>
  <si>
    <t>ASM901741v1</t>
  </si>
  <si>
    <t>University of California, Berkeley</t>
  </si>
  <si>
    <t>Annotation submitted by University of California, Berkeley</t>
  </si>
  <si>
    <t>Asfum</t>
  </si>
  <si>
    <t>Aspergillus fumigatus</t>
  </si>
  <si>
    <t>GCF_000002655.1</t>
  </si>
  <si>
    <t>ASM265v1</t>
  </si>
  <si>
    <t>J. Craig Venter Institute</t>
  </si>
  <si>
    <t>Annotation submitted by J. Craig Venter Institute</t>
  </si>
  <si>
    <t>Atrol</t>
  </si>
  <si>
    <t>Athelia rolfsii</t>
  </si>
  <si>
    <t>GCA_018343915.1</t>
  </si>
  <si>
    <t>ASM1834391v1</t>
  </si>
  <si>
    <t>Oil Crops Research Institute</t>
  </si>
  <si>
    <t>Aupul</t>
  </si>
  <si>
    <t>Aureobasidium pullulans</t>
  </si>
  <si>
    <t>GCF_000721785.1</t>
  </si>
  <si>
    <t>Aureobasidium pullulans var. pullulans EXF-150, assembly version 1.0</t>
  </si>
  <si>
    <t>Annotation submitted by DOE Joint Genome Institute</t>
  </si>
  <si>
    <t>Bebas</t>
  </si>
  <si>
    <t>Beauveria bassiana</t>
  </si>
  <si>
    <t>GCF_000280675.1</t>
  </si>
  <si>
    <t>ASM28067v1</t>
  </si>
  <si>
    <t>Zhejiang University, China</t>
  </si>
  <si>
    <t>Annotation submitted by Zhejiang University, China</t>
  </si>
  <si>
    <t>Blgra</t>
  </si>
  <si>
    <t>Blumeria graminis</t>
  </si>
  <si>
    <t>GCA_905067625.1</t>
  </si>
  <si>
    <t>Bgtriticale_THUN12_genome_v1_2</t>
  </si>
  <si>
    <t>UNIVERSITY OF ZURICH</t>
  </si>
  <si>
    <t>Annotation submitted by UNIVERSITY OF ZURICH</t>
  </si>
  <si>
    <t>Blhor</t>
  </si>
  <si>
    <t>Blumeria hordei</t>
  </si>
  <si>
    <t>GCA_900239735.1</t>
  </si>
  <si>
    <t>BGH_DH14_v4</t>
  </si>
  <si>
    <t>RWTH Aachen University</t>
  </si>
  <si>
    <t>Bodot</t>
  </si>
  <si>
    <t>Botryosphaeria dothidea</t>
  </si>
  <si>
    <t>GCA_011503125.2</t>
  </si>
  <si>
    <t>ASM1150312v2</t>
  </si>
  <si>
    <t>Shandong Agricultural University</t>
  </si>
  <si>
    <t>Annotation submitted by Shandong Agricultural University</t>
  </si>
  <si>
    <t>Bocin</t>
  </si>
  <si>
    <t>Botrytis cinerea</t>
  </si>
  <si>
    <t>GCF_000143535.2</t>
  </si>
  <si>
    <t>ASM14353v4</t>
  </si>
  <si>
    <t>Syngenta Biotechnology, Inc.</t>
  </si>
  <si>
    <t>Annotation submitted by Syngenta Biotechnology, Inc.</t>
  </si>
  <si>
    <t>Boell</t>
  </si>
  <si>
    <t>Botrytis elliptica</t>
  </si>
  <si>
    <t>GCA_024478385.1</t>
  </si>
  <si>
    <t>BOTELL_9401_1</t>
  </si>
  <si>
    <t>Wageningen University</t>
  </si>
  <si>
    <t>Caalb</t>
  </si>
  <si>
    <t>Candida albicans</t>
  </si>
  <si>
    <t>GCF_000182965.3</t>
  </si>
  <si>
    <t>ASM18296v3</t>
  </si>
  <si>
    <t>Stanford University</t>
  </si>
  <si>
    <t>CGD A22-s07-m01-r01</t>
  </si>
  <si>
    <t>Capar</t>
  </si>
  <si>
    <t>Candida parapsilosis</t>
  </si>
  <si>
    <t>GCF_000182765.1</t>
  </si>
  <si>
    <t>ASM18276v2</t>
  </si>
  <si>
    <t>Wellcome Trust Sanger Institute</t>
  </si>
  <si>
    <t>Annotation submitted by Wellcome Trust Sanger Institute</t>
  </si>
  <si>
    <t>Cec01</t>
  </si>
  <si>
    <t>Ceratobasidium</t>
  </si>
  <si>
    <t>GCA_049000075.1</t>
  </si>
  <si>
    <t>R0301.hap1</t>
  </si>
  <si>
    <t>Northwest A&amp;F University</t>
  </si>
  <si>
    <t>GCA_037042815.1</t>
  </si>
  <si>
    <t>FABI_CPap_1.1</t>
  </si>
  <si>
    <t>Forestry and Agricultural Biotechnology Institute</t>
  </si>
  <si>
    <t>GCA_037974915.1</t>
  </si>
  <si>
    <t>genoma_LAO1</t>
  </si>
  <si>
    <t>CIAT</t>
  </si>
  <si>
    <t>Clros</t>
  </si>
  <si>
    <t>Clonostachys rosea</t>
  </si>
  <si>
    <t>GCA_026958235.1</t>
  </si>
  <si>
    <t>ASM2695823v1</t>
  </si>
  <si>
    <t>Dr. Harald Berger</t>
  </si>
  <si>
    <t>Coglo</t>
  </si>
  <si>
    <t>Colletotrichum gloeosporioides</t>
  </si>
  <si>
    <t>GCF_011800055.1</t>
  </si>
  <si>
    <t>NFU_CgLc1_1.0</t>
  </si>
  <si>
    <t>Nanjing Forestry University</t>
  </si>
  <si>
    <t>Annotation submitted by Nanjing Forestry University</t>
  </si>
  <si>
    <t>Cohig</t>
  </si>
  <si>
    <t>Colletotrichum higginsianum</t>
  </si>
  <si>
    <t>GCF_001672515.1</t>
  </si>
  <si>
    <t>ASM167251v1</t>
  </si>
  <si>
    <t>GATC Biotech AG</t>
  </si>
  <si>
    <t>Annotation submitted by GATC Biotech AG</t>
  </si>
  <si>
    <t>Cosub</t>
  </si>
  <si>
    <t>Colletotrichum sublineolum</t>
  </si>
  <si>
    <t>GCA_020631755.1</t>
  </si>
  <si>
    <t>DDPSC_Csu_GS1001_v1</t>
  </si>
  <si>
    <t>Donald Danforth Plant Science Center</t>
  </si>
  <si>
    <t>Cocin</t>
  </si>
  <si>
    <t>Coprinopsis cinerea</t>
  </si>
  <si>
    <t>GCF_000182895.1</t>
  </si>
  <si>
    <t>CC3</t>
  </si>
  <si>
    <t>Broad Institute</t>
  </si>
  <si>
    <t>Annotation submitted by Broad Institute</t>
  </si>
  <si>
    <t>Comil</t>
  </si>
  <si>
    <t>Cordyceps militaris</t>
  </si>
  <si>
    <t>GCF_000225605.1</t>
  </si>
  <si>
    <t>CmilitarisCM01_v01</t>
  </si>
  <si>
    <t>Shanghai Institutes for Biological Sciences (SIBS), Chinese Academy of Sciences</t>
  </si>
  <si>
    <t>Annotation submitted by Shanghai Institutes for Biological Sciences (SIBS), Chinese Academy of Sciences</t>
  </si>
  <si>
    <t>Crgat</t>
  </si>
  <si>
    <t>Cryptococcus gattii</t>
  </si>
  <si>
    <t>GCF_000185945.1</t>
  </si>
  <si>
    <t>ASM18594v1</t>
  </si>
  <si>
    <t>Canada's Michael Smith Genome Sciences Centre</t>
  </si>
  <si>
    <t>Annotation submitted by Canada's Michael Smith Genome Sciences Centre</t>
  </si>
  <si>
    <t>Crneo</t>
  </si>
  <si>
    <t>Cryptococcus neoformans</t>
  </si>
  <si>
    <t>GCF_000091045.1</t>
  </si>
  <si>
    <t>ASM9104v1</t>
  </si>
  <si>
    <t>TIGR</t>
  </si>
  <si>
    <t>Annotation submitted by TIGR</t>
  </si>
  <si>
    <t>Culun</t>
  </si>
  <si>
    <t>Curvularia lunata</t>
  </si>
  <si>
    <t>GCA_005212705.1</t>
  </si>
  <si>
    <t>ASM521270v1</t>
  </si>
  <si>
    <t>Universidade Federal de Mato Grosso</t>
  </si>
  <si>
    <t>Diseg</t>
  </si>
  <si>
    <t>Didymella segeticola</t>
  </si>
  <si>
    <t>GCA_004522025.1</t>
  </si>
  <si>
    <t>ASM452202v1</t>
  </si>
  <si>
    <t>Guizhou University</t>
  </si>
  <si>
    <t>Epnig</t>
  </si>
  <si>
    <t>Epicoccum nigrum</t>
  </si>
  <si>
    <t>GCA_002116315.1</t>
  </si>
  <si>
    <t>ASM211631v1</t>
  </si>
  <si>
    <t>The University of Auckland</t>
  </si>
  <si>
    <t>Annotation submitted by The University of Auckland</t>
  </si>
  <si>
    <t>Fumos</t>
  </si>
  <si>
    <t>Funneliformis mosseae</t>
  </si>
  <si>
    <t>GCA_910592005.1</t>
  </si>
  <si>
    <t>Funneliformis_mosseae_87-6_pot_B_2015</t>
  </si>
  <si>
    <t>UPPSALA UNIVERISTY</t>
  </si>
  <si>
    <t>Annotation submitted by UPPSALA UNIVERISTY</t>
  </si>
  <si>
    <t>Fubra</t>
  </si>
  <si>
    <t>Fusarium brachygibbosum</t>
  </si>
  <si>
    <t>GCA_018886245.1</t>
  </si>
  <si>
    <t>Fb-HN-1</t>
  </si>
  <si>
    <t>Chinese Academy of Agricultural Sciences</t>
  </si>
  <si>
    <t>Fugra</t>
  </si>
  <si>
    <t>Fusarium graminearum</t>
  </si>
  <si>
    <t>GCF_000240135.3</t>
  </si>
  <si>
    <t>ASM24013v3</t>
  </si>
  <si>
    <t>International Gibberella zeae Genomics Consortium</t>
  </si>
  <si>
    <t>Annotation submitted by International Gibberella zeae Genomics Consortium</t>
  </si>
  <si>
    <t>Fuoxy</t>
  </si>
  <si>
    <t>Fusarium oxysporum</t>
  </si>
  <si>
    <t>GCF_013085055.1</t>
  </si>
  <si>
    <t>ASM1308505v1</t>
  </si>
  <si>
    <t>Xi'an Jiaotong University</t>
  </si>
  <si>
    <t>Annotation submitted by Xi'an Jiaotong University</t>
  </si>
  <si>
    <t>Gasin</t>
  </si>
  <si>
    <t>Ganoderma sinense</t>
  </si>
  <si>
    <t>GCA_002760635.1</t>
  </si>
  <si>
    <t>GanSi1.6</t>
  </si>
  <si>
    <t>The Institute of Medicinal Plant Development, China</t>
  </si>
  <si>
    <t>Annotation submitted by The Institute of Medicinal Plant Development, China</t>
  </si>
  <si>
    <t>Gimar</t>
  </si>
  <si>
    <t>Gigaspora margarita</t>
  </si>
  <si>
    <t>GCA_009809945.1</t>
  </si>
  <si>
    <t>UNITO_GmarBEG34_1.0</t>
  </si>
  <si>
    <t>CNR</t>
  </si>
  <si>
    <t>Annotation submitted by CNR</t>
  </si>
  <si>
    <t>Hicap</t>
  </si>
  <si>
    <t>Histoplasma capsulatum</t>
  </si>
  <si>
    <t>GCF_000150115.1</t>
  </si>
  <si>
    <t>ASM15011v1</t>
  </si>
  <si>
    <t>WashU</t>
  </si>
  <si>
    <t>Annotation submitted by WashU</t>
  </si>
  <si>
    <t>Isfum</t>
  </si>
  <si>
    <t>Isaria fumosorosea</t>
  </si>
  <si>
    <t>GCF_001636725.1</t>
  </si>
  <si>
    <t>ISF 1.0</t>
  </si>
  <si>
    <t>Labic</t>
  </si>
  <si>
    <t>Laccaria bicolor</t>
  </si>
  <si>
    <t>GCF_000143565.1</t>
  </si>
  <si>
    <t>V1.0</t>
  </si>
  <si>
    <t>Laccaria Genome Consortium</t>
  </si>
  <si>
    <t>Annotation submitted by Laccaria Genome Consortium</t>
  </si>
  <si>
    <t>Lathe</t>
  </si>
  <si>
    <t>Lasiodiplodia theobromae</t>
  </si>
  <si>
    <t>GCF_012971845.1</t>
  </si>
  <si>
    <t>ASM1297184v1</t>
  </si>
  <si>
    <t>Beltsville Agricultural Research Center</t>
  </si>
  <si>
    <t>Annotation submitted by Beltsville Agricultural Research Center</t>
  </si>
  <si>
    <t>Masym</t>
  </si>
  <si>
    <t>Malassezia sympodialis</t>
  </si>
  <si>
    <t>GCF_000349305.1</t>
  </si>
  <si>
    <t>ASM34930v2</t>
  </si>
  <si>
    <t>SciLifeLab</t>
  </si>
  <si>
    <t>Annotation submitted by SciLifeLab</t>
  </si>
  <si>
    <t>Mabru</t>
  </si>
  <si>
    <t>Marssonina brunnea</t>
  </si>
  <si>
    <t>GCF_022702325.1</t>
  </si>
  <si>
    <t>ASM2270232v1</t>
  </si>
  <si>
    <t>Meacr</t>
  </si>
  <si>
    <t>Metarhizium acridum</t>
  </si>
  <si>
    <t>GCF_019434415.1</t>
  </si>
  <si>
    <t>Coph_MacrARSEF324_H1_v1.0</t>
  </si>
  <si>
    <t>University of Copenhagen</t>
  </si>
  <si>
    <t>Annotation submitted by University of Copenhagen</t>
  </si>
  <si>
    <t>Meani</t>
  </si>
  <si>
    <t>Metarhizium anisopliae</t>
  </si>
  <si>
    <t>GCA_013305495.1</t>
  </si>
  <si>
    <t>ASM1330549v1</t>
  </si>
  <si>
    <t>Chonbuk National University</t>
  </si>
  <si>
    <t>Annotation submitted by Chonbuk National University</t>
  </si>
  <si>
    <t>Mucir</t>
  </si>
  <si>
    <t>Mucor circinelloides</t>
  </si>
  <si>
    <t>GCA_037974945.1</t>
  </si>
  <si>
    <t>ASM3797494v1</t>
  </si>
  <si>
    <t>Faculty of Veterinary Medicine, University of Lisbon</t>
  </si>
  <si>
    <t>Mulus</t>
  </si>
  <si>
    <t>Mucor lusitanicus</t>
  </si>
  <si>
    <t>GCA_040256725.1</t>
  </si>
  <si>
    <t>ASM4025672v1</t>
  </si>
  <si>
    <t>Nacas</t>
  </si>
  <si>
    <t>Naumovozyma castellii</t>
  </si>
  <si>
    <t>GCF_000237345.1</t>
  </si>
  <si>
    <t>ASM23734v1</t>
  </si>
  <si>
    <t>Wolfe Laboratory, Smurfit Institute of Genetics, Trinity College Dublin</t>
  </si>
  <si>
    <t>Annotation submitted by Wolfe Laboratory, Smurfit Institute of Genetics, Trinity College Dublin</t>
  </si>
  <si>
    <t>Necra</t>
  </si>
  <si>
    <t>Neurospora crassa</t>
  </si>
  <si>
    <t>GCF_000182925.2</t>
  </si>
  <si>
    <t>NC12</t>
  </si>
  <si>
    <t>Nobom</t>
  </si>
  <si>
    <t>Nosema bombycis</t>
  </si>
  <si>
    <t>GCA_000383075.1</t>
  </si>
  <si>
    <t>NosBomCQ1_v1.0</t>
  </si>
  <si>
    <t>The Institute of Sericulture and Systems Biology (ISSB) of Southwest University (SWU)</t>
  </si>
  <si>
    <t>Annotation submitted by The Institute of Sericulture and Systems Biology (ISSB) of Southwest University (SWU)</t>
  </si>
  <si>
    <t>Nocer</t>
  </si>
  <si>
    <t>Nosema ceranae</t>
  </si>
  <si>
    <t>GCF_000988165.1</t>
  </si>
  <si>
    <t>ASM98816v1</t>
  </si>
  <si>
    <t>University of Ottawa</t>
  </si>
  <si>
    <t>Annotation submitted by University of Ottawa</t>
  </si>
  <si>
    <t>Opsin</t>
  </si>
  <si>
    <t>Ophiocordyceps sinensis</t>
  </si>
  <si>
    <t>GCA_012934285.1</t>
  </si>
  <si>
    <t>ASM1293428v1</t>
  </si>
  <si>
    <t>Institute of Zoology, Chinese Academy of Sciences</t>
  </si>
  <si>
    <t>Annotation submitted by Institute of Zoology, Chinese Academy of Sciences</t>
  </si>
  <si>
    <t>Pabra</t>
  </si>
  <si>
    <t>Paracoccidioides brasiliensis</t>
  </si>
  <si>
    <t>GCF_000150735.1</t>
  </si>
  <si>
    <t>Paracocci_br_Pb18_V2</t>
  </si>
  <si>
    <t>Paocc</t>
  </si>
  <si>
    <t>Paraglomus occultum</t>
  </si>
  <si>
    <t>GCA_910592205.1</t>
  </si>
  <si>
    <t>Paraglomus_occultum_IA702</t>
  </si>
  <si>
    <t>Peita</t>
  </si>
  <si>
    <t>Penicillium italicum</t>
  </si>
  <si>
    <t>GCA_002116305.1</t>
  </si>
  <si>
    <t>ASM211630v1</t>
  </si>
  <si>
    <t>BGI</t>
  </si>
  <si>
    <t>Pifer</t>
  </si>
  <si>
    <t>Pichia fermentans</t>
  </si>
  <si>
    <t>GCA_035610515.1</t>
  </si>
  <si>
    <t>ASM3561051v1</t>
  </si>
  <si>
    <t>Shenzhen TaiSu Biotechnology Co.Ltd</t>
  </si>
  <si>
    <t>Plcor</t>
  </si>
  <si>
    <t>Pleurotus cornucopiae</t>
  </si>
  <si>
    <t>GCA_019677325.2</t>
  </si>
  <si>
    <t>ASM1967732v2</t>
  </si>
  <si>
    <t>Institute of Agricultural Resources and Regional Planning</t>
  </si>
  <si>
    <t>Annotation submitted by Institute of Agricultural Resources and Regional Planning</t>
  </si>
  <si>
    <t>Plery</t>
  </si>
  <si>
    <t>Pleurotus eryngii</t>
  </si>
  <si>
    <t>GCA_029467805.1</t>
  </si>
  <si>
    <t>ASM2946780v1</t>
  </si>
  <si>
    <t>Jilin Agricultural University</t>
  </si>
  <si>
    <t>Plost</t>
  </si>
  <si>
    <t>Pleurotus ostreatus</t>
  </si>
  <si>
    <t>GCF_014466165.1</t>
  </si>
  <si>
    <t>ASM1446616v1</t>
  </si>
  <si>
    <t>Academia Sinica</t>
  </si>
  <si>
    <t>Annotation submitted by Academia Sinica</t>
  </si>
  <si>
    <t>Pltuo</t>
  </si>
  <si>
    <t>Pleurotus tuoliensis</t>
  </si>
  <si>
    <t>GCA_036872985.1</t>
  </si>
  <si>
    <t>ASM3687298v1</t>
  </si>
  <si>
    <t>Qingdao Agriculturual University</t>
  </si>
  <si>
    <t>Pugra</t>
  </si>
  <si>
    <t>Puccinia graminis</t>
  </si>
  <si>
    <t>GCF_000149925.1</t>
  </si>
  <si>
    <t>ASM14992v1</t>
  </si>
  <si>
    <t>Pustr</t>
  </si>
  <si>
    <t>Puccinia striiformis</t>
  </si>
  <si>
    <t>GCF_021901695.1</t>
  </si>
  <si>
    <t>Pst134E36_v1_pri</t>
  </si>
  <si>
    <t>Australian National University</t>
  </si>
  <si>
    <t>Annotation submitted by Australian National University</t>
  </si>
  <si>
    <t>Putri</t>
  </si>
  <si>
    <t>Puccinia triticina</t>
  </si>
  <si>
    <t>GCF_026914185.1</t>
  </si>
  <si>
    <t>ASM2691418v1</t>
  </si>
  <si>
    <t>Henan Agricultural University</t>
  </si>
  <si>
    <t>Annotation submitted by Henan Agricultural University</t>
  </si>
  <si>
    <t>Pyory</t>
  </si>
  <si>
    <t>Pyricularia oryzae</t>
  </si>
  <si>
    <t>GCF_000002495.2</t>
  </si>
  <si>
    <t>MG8</t>
  </si>
  <si>
    <t>International Rice Blast Genome Consortium</t>
  </si>
  <si>
    <t>Annotation submitted by International Rice Blast Genome Consortium</t>
  </si>
  <si>
    <t>Rhsol</t>
  </si>
  <si>
    <t>Rhizoctonia solani</t>
  </si>
  <si>
    <t>GCF_016906535.1</t>
  </si>
  <si>
    <t>ASM1690653v1</t>
  </si>
  <si>
    <t>China Agricultural University</t>
  </si>
  <si>
    <t>Annotation submitted by China Agricultural University</t>
  </si>
  <si>
    <t>Rhirr</t>
  </si>
  <si>
    <t>Rhizophagus irregularis</t>
  </si>
  <si>
    <t>GCF_026210795.1</t>
  </si>
  <si>
    <t>ASM2621079v1</t>
  </si>
  <si>
    <t>Royal Botanic Gardens Kew</t>
  </si>
  <si>
    <t>Annotation submitted by Royal Botanic Gardens Kew</t>
  </si>
  <si>
    <t>Sacer</t>
  </si>
  <si>
    <t>Saccharomyces cerevisiae</t>
  </si>
  <si>
    <t>GCF_000146045.2</t>
  </si>
  <si>
    <t>R64</t>
  </si>
  <si>
    <t>Saccharomyces Genome Database</t>
  </si>
  <si>
    <t>SGD R64-5-1</t>
  </si>
  <si>
    <t>Savan</t>
  </si>
  <si>
    <t>Sanghuangporus vaninii</t>
  </si>
  <si>
    <t>GCA_041442975.1</t>
  </si>
  <si>
    <t>ASM4144297v1</t>
  </si>
  <si>
    <t>Beijing Forestry University</t>
  </si>
  <si>
    <t>Scjap</t>
  </si>
  <si>
    <t>Schizosaccharomyces japonicus</t>
  </si>
  <si>
    <t>GCF_000149845.2</t>
  </si>
  <si>
    <t>SJ5</t>
  </si>
  <si>
    <t>Scpom</t>
  </si>
  <si>
    <t>Schizosaccharomyces pombe</t>
  </si>
  <si>
    <t>GCF_000002945.2</t>
  </si>
  <si>
    <t>ASM294v3</t>
  </si>
  <si>
    <t>S. pombe European Sequencing Consortium (EUPOM)</t>
  </si>
  <si>
    <t>Annotation submitted by PomBase</t>
  </si>
  <si>
    <t>Scscl</t>
  </si>
  <si>
    <t>Sclerotinia sclerotiorum</t>
  </si>
  <si>
    <t>GCF_000146945.2</t>
  </si>
  <si>
    <t>ASM14694v2</t>
  </si>
  <si>
    <t>Spsci</t>
  </si>
  <si>
    <t>Sporisorium scitamineum</t>
  </si>
  <si>
    <t>GCA_001010845.1</t>
  </si>
  <si>
    <t>ASM101084v1</t>
  </si>
  <si>
    <t>University of Sao Paulo</t>
  </si>
  <si>
    <t>Tacam</t>
  </si>
  <si>
    <t>Taiwanofungus camphoratus</t>
  </si>
  <si>
    <t>GCA_003999685.1</t>
  </si>
  <si>
    <t>ASM399968v1</t>
  </si>
  <si>
    <t>Tamar</t>
  </si>
  <si>
    <t>Talaromyces marneffei</t>
  </si>
  <si>
    <t>GCF_009556855.1</t>
  </si>
  <si>
    <t>ASM955685v1</t>
  </si>
  <si>
    <t>Trasp</t>
  </si>
  <si>
    <t>Trichoderma asperellum</t>
  </si>
  <si>
    <t>GCF_020647865.1</t>
  </si>
  <si>
    <t>ASM2064786v1</t>
  </si>
  <si>
    <t>Tratr</t>
  </si>
  <si>
    <t>Trichoderma atroviride</t>
  </si>
  <si>
    <t>GCF_020647795.1</t>
  </si>
  <si>
    <t>ASM2064779v1</t>
  </si>
  <si>
    <t>Trree</t>
  </si>
  <si>
    <t>Trichoderma reesei</t>
  </si>
  <si>
    <t>GCF_000167675.1</t>
  </si>
  <si>
    <t>v2.0</t>
  </si>
  <si>
    <t>Trrub</t>
  </si>
  <si>
    <t>Trichophyton rubrum</t>
  </si>
  <si>
    <t>GCF_000151425.1</t>
  </si>
  <si>
    <t>ASM15142v1</t>
  </si>
  <si>
    <t>Usmay</t>
  </si>
  <si>
    <t>Ustilago maydis</t>
  </si>
  <si>
    <t>GCF_000328475.2</t>
  </si>
  <si>
    <t>Umaydis521_2.0</t>
  </si>
  <si>
    <t>Vacer</t>
  </si>
  <si>
    <t>Vairimorpha ceranae</t>
  </si>
  <si>
    <t>Vamal</t>
  </si>
  <si>
    <t>Valsa mali</t>
  </si>
  <si>
    <t>GCA_025426655.1</t>
  </si>
  <si>
    <t>ASM2542665v1</t>
  </si>
  <si>
    <t>Plant Disease Epidemiol &amp; IPM</t>
  </si>
  <si>
    <t>Vapol</t>
  </si>
  <si>
    <t>Vanderwaltozyma polyspora</t>
  </si>
  <si>
    <t>GCF_000150035.1</t>
  </si>
  <si>
    <t>ASM15003v1</t>
  </si>
  <si>
    <t>Trinity College Dublin, Ireland</t>
  </si>
  <si>
    <t>Annotation submitted by Trinity College Dublin, Ireland</t>
  </si>
  <si>
    <t>Vealb</t>
  </si>
  <si>
    <t>Verticillium albo-atrum</t>
  </si>
  <si>
    <t>GCA_002851705.1</t>
  </si>
  <si>
    <t>ASM285170v1</t>
  </si>
  <si>
    <t>Wageningen University &amp; Research</t>
  </si>
  <si>
    <t>Vedah</t>
  </si>
  <si>
    <t>Verticillium dahliae</t>
  </si>
  <si>
    <t>GCF_000150675.1</t>
  </si>
  <si>
    <t>ASM15067v2</t>
  </si>
  <si>
    <t>Venon</t>
  </si>
  <si>
    <t>Verticillium nonalfalfae</t>
  </si>
  <si>
    <t>GCF_003724135.2</t>
  </si>
  <si>
    <t>ASM372413v2</t>
  </si>
  <si>
    <t>West Virignia University</t>
  </si>
  <si>
    <t>Annotation submitted by West Virignia University</t>
  </si>
  <si>
    <t>Vovol</t>
  </si>
  <si>
    <t>Volvariella volvacea</t>
  </si>
  <si>
    <t>GCA_000349905.1</t>
  </si>
  <si>
    <t>VVO</t>
  </si>
  <si>
    <t>The Institute of Edible Fungi, Shanghai Academy of Agricultural Sciences</t>
  </si>
  <si>
    <t>Yalip</t>
  </si>
  <si>
    <t>Yarrowia lipolytica</t>
  </si>
  <si>
    <t>GCF_001761485.1</t>
  </si>
  <si>
    <t>ASM176148v1</t>
  </si>
  <si>
    <t>University of California, Irvine</t>
  </si>
  <si>
    <t>Annotation submitted by University of California, Irvine</t>
  </si>
  <si>
    <t>Zytri</t>
  </si>
  <si>
    <t>Zymoseptoria tritici</t>
  </si>
  <si>
    <t>GCF_000219625.1</t>
  </si>
  <si>
    <t>MYCGR v2.0</t>
  </si>
  <si>
    <t>selected</t>
  </si>
  <si>
    <t>x</t>
  </si>
  <si>
    <t>paired_accession</t>
  </si>
  <si>
    <t>GCA_000300575.1</t>
  </si>
  <si>
    <t>GCA_001642055.1</t>
  </si>
  <si>
    <t>GCA_004011695.2</t>
  </si>
  <si>
    <t>GCA_009017415.1</t>
  </si>
  <si>
    <t>GCA_000002655.1</t>
  </si>
  <si>
    <t>GCA_000721785.1</t>
  </si>
  <si>
    <t>GCA_000280675.1</t>
  </si>
  <si>
    <t>GCA_000143535.4</t>
  </si>
  <si>
    <t>GCA_000182965.3</t>
  </si>
  <si>
    <t>GCA_000182765.2</t>
  </si>
  <si>
    <t>GCA_011800055.1</t>
  </si>
  <si>
    <t>GCA_001672515.1</t>
  </si>
  <si>
    <t>GCA_000182895.1</t>
  </si>
  <si>
    <t>GCA_000225605.1</t>
  </si>
  <si>
    <t>GCA_000185945.1</t>
  </si>
  <si>
    <t>GCA_000091045.1</t>
  </si>
  <si>
    <t>GCA_000240135.3</t>
  </si>
  <si>
    <t>GCA_013085055.1</t>
  </si>
  <si>
    <t>GCA_000150115.1</t>
  </si>
  <si>
    <t>GCA_001636725.1</t>
  </si>
  <si>
    <t>GCA_000143565.1</t>
  </si>
  <si>
    <t>GCA_012971845.1</t>
  </si>
  <si>
    <t>GCA_000349305.2</t>
  </si>
  <si>
    <t>GCA_022702325.1</t>
  </si>
  <si>
    <t>GCA_019434415.1</t>
  </si>
  <si>
    <t>GCA_000237345.1</t>
  </si>
  <si>
    <t>GCA_000182925.2</t>
  </si>
  <si>
    <t>GCA_000988165.1</t>
  </si>
  <si>
    <t>GCA_000150735.2</t>
  </si>
  <si>
    <t>GCA_014466165.1</t>
  </si>
  <si>
    <t>GCA_000149925.1</t>
  </si>
  <si>
    <t>GCA_021901695.1</t>
  </si>
  <si>
    <t>GCA_026914185.1</t>
  </si>
  <si>
    <t>GCA_000002495.2</t>
  </si>
  <si>
    <t>GCA_016906535.1</t>
  </si>
  <si>
    <t>GCA_026210795.1</t>
  </si>
  <si>
    <t>GCA_000146045.2</t>
  </si>
  <si>
    <t>SGD R64-4-1</t>
  </si>
  <si>
    <t>GCA_000149845.2</t>
  </si>
  <si>
    <t>GCA_000002945.3</t>
  </si>
  <si>
    <t>Annotation submitted by S. pombe European Sequencing Consortium (EUPOM)</t>
  </si>
  <si>
    <t>GCA_000146945.2</t>
  </si>
  <si>
    <t>GCA_009556855.1</t>
  </si>
  <si>
    <t>GCA_020647865.1</t>
  </si>
  <si>
    <t>GCA_020647795.1</t>
  </si>
  <si>
    <t>GCA_000167675.2</t>
  </si>
  <si>
    <t>GCA_000151425.1</t>
  </si>
  <si>
    <t>GCA_000328475.2</t>
  </si>
  <si>
    <t>GCA_000150035.1</t>
  </si>
  <si>
    <t>GCA_000150675.2</t>
  </si>
  <si>
    <t>GCA_003724135.2</t>
  </si>
  <si>
    <t>GCA_001761485.1</t>
  </si>
  <si>
    <t>GCA_000219625.1</t>
  </si>
  <si>
    <t>GCA_048999985.1</t>
  </si>
  <si>
    <t>R0301.hap2</t>
  </si>
  <si>
    <t>None</t>
  </si>
  <si>
    <t>GCA_019677355.1</t>
  </si>
  <si>
    <t>ASM1967735v1</t>
  </si>
  <si>
    <t>GCA_019677385.1</t>
  </si>
  <si>
    <t>ASM1967738v1</t>
  </si>
  <si>
    <t>GCA_019616325.1</t>
  </si>
  <si>
    <t>Cerato394_1.0</t>
  </si>
  <si>
    <t>GCA_019616345.1</t>
  </si>
  <si>
    <t>Cerato395_1.0</t>
  </si>
  <si>
    <t>GCA_019616945.1</t>
  </si>
  <si>
    <t>Cerato414_1.0</t>
  </si>
  <si>
    <t>GCA_019616915.1</t>
  </si>
  <si>
    <t>Cerato423_1.0</t>
  </si>
  <si>
    <t>GCA_019623705.1</t>
  </si>
  <si>
    <t>Cerato428_1.0</t>
  </si>
  <si>
    <t>GCA_016906555.1</t>
  </si>
  <si>
    <t>ASM1690655v1</t>
  </si>
  <si>
    <t>GCA_016906575.1</t>
  </si>
  <si>
    <t>ASM1690657v1</t>
  </si>
  <si>
    <t>GCA_015039395.1</t>
  </si>
  <si>
    <t>CerAGI</t>
  </si>
  <si>
    <t>GCA_037039685.1</t>
  </si>
  <si>
    <t>ASM3703968v1</t>
  </si>
  <si>
    <t>GCA_025200755.1</t>
  </si>
  <si>
    <t>ASM2520075v1</t>
  </si>
  <si>
    <t>Murdoch University</t>
  </si>
  <si>
    <t>GCA_047651735.1</t>
  </si>
  <si>
    <t>ASM4765173v1</t>
  </si>
  <si>
    <t>Hunan Agricultural University</t>
  </si>
  <si>
    <t>GCA_019677335.1</t>
  </si>
  <si>
    <t>ASM1967733v1</t>
  </si>
  <si>
    <t>University of Missouri</t>
  </si>
  <si>
    <t>Annotation submitted by University of Missouri</t>
  </si>
  <si>
    <t>GCA_009078325.1</t>
  </si>
  <si>
    <t>ASM907832v1</t>
  </si>
  <si>
    <t>GCA_012932095.1</t>
  </si>
  <si>
    <t>ASM1293209v1</t>
  </si>
  <si>
    <t>Malaysian Cocoa Board</t>
  </si>
  <si>
    <t>Rhjg1</t>
  </si>
  <si>
    <t>Rhodotorula sp. JG-1b</t>
  </si>
  <si>
    <t>GCA_001541205.1</t>
  </si>
  <si>
    <t>Rhosp1</t>
  </si>
  <si>
    <t>GCA_963379285.1</t>
  </si>
  <si>
    <t>SMGC_7569_bin.1_MetaWRAP_v1.2.1_MAG</t>
  </si>
  <si>
    <t>NIH/NHGRI</t>
  </si>
  <si>
    <t>Annotated</t>
  </si>
  <si>
    <t>GCA_023079265.1</t>
  </si>
  <si>
    <t>ASM2307926v1</t>
  </si>
  <si>
    <t>GCA_027569035.1</t>
  </si>
  <si>
    <t>ASM2756903v1</t>
  </si>
  <si>
    <t>Northwestern University</t>
  </si>
  <si>
    <t>GCA_027569655.1</t>
  </si>
  <si>
    <t>ASM2756965v1</t>
  </si>
  <si>
    <t>GCA_000174375.1</t>
  </si>
  <si>
    <t>ASM17437v1</t>
  </si>
  <si>
    <t>Washington University Genome Center (WUGC)</t>
  </si>
  <si>
    <t>GCA_900237765.1</t>
  </si>
  <si>
    <t>BghRACE1_v1</t>
  </si>
  <si>
    <t>MAX PLANCK INSTITUTE FOR PLANT BREEDING RESEARCH</t>
  </si>
  <si>
    <t>Annotation submitted by MAX PLANCK INSTITUTE FOR PLANT BREEDING RESEARCH</t>
  </si>
  <si>
    <t>GCA_000401675.1</t>
  </si>
  <si>
    <t>A6_trimmed_clc_assembly_flt.fa</t>
  </si>
  <si>
    <t>Max Planck Institute for Plant Breeding Research</t>
  </si>
  <si>
    <t>GCA_000151065.3</t>
  </si>
  <si>
    <t>ASM15106v3</t>
  </si>
  <si>
    <t>Blumeria Genome Sequencing Consortium</t>
  </si>
  <si>
    <t>Annotation submitted by Blumeria Genome Sequencing Consortium</t>
  </si>
  <si>
    <t>GCA_000401615.1</t>
  </si>
  <si>
    <t>K1_trimmed_clc_assembly_flt.fa</t>
  </si>
  <si>
    <t>GCA_023065745.1</t>
  </si>
  <si>
    <t>BLGH_SK1</t>
  </si>
  <si>
    <t>GCA_004786205.1</t>
  </si>
  <si>
    <t>ASM478620v1</t>
  </si>
  <si>
    <t>Annotation submitted by Wageningen University</t>
  </si>
  <si>
    <t>GCA_014898555.1</t>
  </si>
  <si>
    <t>ASM1489855v1</t>
  </si>
  <si>
    <t>GCA_000696135.1</t>
  </si>
  <si>
    <t>ASM69613v1</t>
  </si>
  <si>
    <t>Universidad de Salamanca</t>
  </si>
  <si>
    <t>Annotation submitted by Universidad de Salamanca</t>
  </si>
  <si>
    <t>GCA_001951195.1</t>
  </si>
  <si>
    <t>ASM195119v1</t>
  </si>
  <si>
    <t>University of Kentucky</t>
  </si>
  <si>
    <t>GCA_030867325.1</t>
  </si>
  <si>
    <t>Colsu1</t>
  </si>
  <si>
    <t>GCA_001276145.1</t>
  </si>
  <si>
    <t>ASM127614v1</t>
  </si>
  <si>
    <t>Jiangnan University</t>
  </si>
  <si>
    <t>GCA_001599575.1</t>
  </si>
  <si>
    <t>JCM_22480_assembly_v001</t>
  </si>
  <si>
    <t>RIKEN Center for Life Science Technologies, Division of Genomic Technologies</t>
  </si>
  <si>
    <t>GCA_023629755.1</t>
  </si>
  <si>
    <t>ASM2362975v1</t>
  </si>
  <si>
    <t>Dalian Medical University</t>
  </si>
  <si>
    <t>GCA_023629775.1</t>
  </si>
  <si>
    <t>ASM2362977v1</t>
  </si>
  <si>
    <t>GCA_023629815.1</t>
  </si>
  <si>
    <t>ASM2362981v1</t>
  </si>
  <si>
    <t>GCA_023629835.1</t>
  </si>
  <si>
    <t>ASM2362983v1</t>
  </si>
  <si>
    <t>GCA_023629855.1</t>
  </si>
  <si>
    <t>ASM2362985v1</t>
  </si>
  <si>
    <t>GCA_023629875.1</t>
  </si>
  <si>
    <t>ASM2362987v1</t>
  </si>
  <si>
    <t>GCA_023630435.1</t>
  </si>
  <si>
    <t>ASM2363043v1</t>
  </si>
  <si>
    <t>GCA_023630465.1</t>
  </si>
  <si>
    <t>ASM2363046v1</t>
  </si>
  <si>
    <t>GCA_023630475.1</t>
  </si>
  <si>
    <t>ASM2363047v1</t>
  </si>
  <si>
    <t>GCA_023630555.1</t>
  </si>
  <si>
    <t>ASM2363055v1</t>
  </si>
  <si>
    <t>GCA_025504485.1</t>
  </si>
  <si>
    <t>ASM2550448v1</t>
  </si>
  <si>
    <t>GCA_025504515.1</t>
  </si>
  <si>
    <t>ASM2550451v1</t>
  </si>
  <si>
    <t>GCA_048772875.1</t>
  </si>
  <si>
    <t>ASM4877287v1</t>
  </si>
  <si>
    <t>Donghua university</t>
  </si>
  <si>
    <t>GCA_000401635.1</t>
  </si>
  <si>
    <t>Muco_sp_1006Ph_V1</t>
  </si>
  <si>
    <t>GCA_000696935.1</t>
  </si>
  <si>
    <t>MucCirB8987-1.0</t>
  </si>
  <si>
    <t>IGS</t>
  </si>
  <si>
    <t>GCA_000769765.1</t>
  </si>
  <si>
    <t>ASM76976v1</t>
  </si>
  <si>
    <t>Center for Genomic Regulation (CRG)</t>
  </si>
  <si>
    <t>Annotation submitted by Center for Genomic Regulation (CRG)</t>
  </si>
  <si>
    <t>GCA_001008395.1</t>
  </si>
  <si>
    <t>PI</t>
  </si>
  <si>
    <t>Institute of Botany, Chinese Academy of Sciences</t>
  </si>
  <si>
    <t>GCA_001717165.1</t>
  </si>
  <si>
    <t>ASM171716v1</t>
  </si>
  <si>
    <t>Shanghai Academy of Agricultural Sciences</t>
  </si>
  <si>
    <t>GCA_003243765.1</t>
  </si>
  <si>
    <t>ASM324376v1</t>
  </si>
  <si>
    <t>Northeast Normal University</t>
  </si>
  <si>
    <t>GCA_003314755.1</t>
  </si>
  <si>
    <t>ASM331475v1</t>
  </si>
  <si>
    <t>Kunming University of Science and Technology</t>
  </si>
  <si>
    <t>GCA_015484515.1</t>
  </si>
  <si>
    <t>Pleery1</t>
  </si>
  <si>
    <t>GCA_029874175.1</t>
  </si>
  <si>
    <t>ASM2987417v1</t>
  </si>
  <si>
    <t>GCA_029467795.1</t>
  </si>
  <si>
    <t>ASM2946779v1</t>
  </si>
  <si>
    <t>GCA_024703735.1</t>
  </si>
  <si>
    <t>ASM2470373v1</t>
  </si>
  <si>
    <t>School of Bioscience and Technology</t>
  </si>
  <si>
    <t>GCA_036873625.1</t>
  </si>
  <si>
    <t>ASM3687362v1</t>
  </si>
  <si>
    <t>GCA_048932575.1</t>
  </si>
  <si>
    <t>ASM4893257v1</t>
  </si>
  <si>
    <t>Seoul National University</t>
  </si>
  <si>
    <t>Annotation submitted by Seoul National University</t>
  </si>
  <si>
    <t>GCA_000766995.1</t>
  </si>
  <si>
    <t>ASM76699v1</t>
  </si>
  <si>
    <t>GCA_003413585.1</t>
  </si>
  <si>
    <t>ASM341358v1</t>
  </si>
  <si>
    <t>Shanghai Qinshengyuan Biotechnology Co., Ltd</t>
  </si>
  <si>
    <t>GCA_022598595.1</t>
  </si>
  <si>
    <t>ASM2259859v1</t>
  </si>
  <si>
    <t>GCA_022598625.1</t>
  </si>
  <si>
    <t>ASM2259862v1</t>
  </si>
  <si>
    <t>GCA_022598655.1</t>
  </si>
  <si>
    <t>ASM2259865v1</t>
  </si>
  <si>
    <t>GCA_022598685.1</t>
  </si>
  <si>
    <t>ASM2259868v1</t>
  </si>
  <si>
    <t>GCA_036872975.1</t>
  </si>
  <si>
    <t>ASM3687297v1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</si>
</sst>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"/>
    </dxf>
    <dxf>
      <numFmt numFmtId="19" formatCode="m/d/yy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23FA4-B4F8-4449-9EDA-9CD7F4A1452E}" name="Table1" displayName="Table1" ref="A1:P218" totalsRowShown="0" headerRowDxfId="4">
  <autoFilter ref="A1:P218" xr:uid="{7FC23FA4-B4F8-4449-9EDA-9CD7F4A1452E}">
    <filterColumn colId="0">
      <customFilters>
        <customFilter operator="notEqual" val=" "/>
      </customFilters>
    </filterColumn>
  </autoFilter>
  <sortState xmlns:xlrd2="http://schemas.microsoft.com/office/spreadsheetml/2017/richdata2" ref="A2:P218">
    <sortCondition ref="C1:C218"/>
  </sortState>
  <tableColumns count="16">
    <tableColumn id="1" xr3:uid="{051CB844-1F57-374C-8888-E4CF674B03C1}" name="selected" dataDxfId="3"/>
    <tableColumn id="16" xr3:uid="{95E6E4C2-93F5-AB4E-96BD-C79B60872119}" name="Annotated" dataDxfId="2">
      <calculatedColumnFormula>IF(Table1[[#This Row],[ann_name]]="","","x")</calculatedColumnFormula>
    </tableColumn>
    <tableColumn id="2" xr3:uid="{A992218C-C032-AF44-8594-0B50C81E19BB}" name="abbv"/>
    <tableColumn id="15" xr3:uid="{DD8D1A75-3388-A94B-9DD1-C6B441468CA0}" name="organism"/>
    <tableColumn id="3" xr3:uid="{9EE94480-0501-0A49-AD91-C759873E9735}" name="accession"/>
    <tableColumn id="4" xr3:uid="{203A76A7-5AE1-D244-8DE4-4D10C5AAF9B4}" name="assembly_name"/>
    <tableColumn id="5" xr3:uid="{FD6EC185-ECAE-A846-9A54-CE5A2A54CA84}" name="assembly_level"/>
    <tableColumn id="6" xr3:uid="{2E401213-C27A-E44D-B1C9-317DF258E9F7}" name="refseq_category"/>
    <tableColumn id="7" xr3:uid="{F00EA55D-EF22-2342-8039-39AF355A388B}" name="paired_accession"/>
    <tableColumn id="8" xr3:uid="{47549B4F-ABC2-984B-AF18-78AE1CF7B53F}" name="submitter"/>
    <tableColumn id="9" xr3:uid="{77FC1400-63B9-E047-BA3F-E6D37E8C44EB}" name="asm_release_date" dataDxfId="1"/>
    <tableColumn id="10" xr3:uid="{81362ECF-47F4-3240-AAB2-2BDAFAD59631}" name="num_seqs"/>
    <tableColumn id="11" xr3:uid="{7775659D-B33D-6F45-A673-58035CBA91F6}" name="tot_length"/>
    <tableColumn id="12" xr3:uid="{666D1590-EC38-E44B-A725-B9A3094C5EE3}" name="ann_name"/>
    <tableColumn id="13" xr3:uid="{FF8BD524-9703-D840-95F7-3A9D3C3657AF}" name="ann_release_date" dataDxfId="0"/>
    <tableColumn id="14" xr3:uid="{7C1B2C16-C0C6-DF42-B0E6-B73A1986CEB1}" name="gene_cou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F15A-63EF-6E45-8B94-E3A86060A511}">
  <dimension ref="A1:P218"/>
  <sheetViews>
    <sheetView tabSelected="1" topLeftCell="A132" workbookViewId="0">
      <selection activeCell="E204" sqref="E204"/>
    </sheetView>
  </sheetViews>
  <sheetFormatPr baseColWidth="10" defaultRowHeight="16" x14ac:dyDescent="0.2"/>
  <cols>
    <col min="1" max="1" width="10.83203125" style="4"/>
    <col min="3" max="3" width="25" customWidth="1"/>
    <col min="4" max="4" width="28.83203125" customWidth="1"/>
    <col min="5" max="5" width="20.33203125" customWidth="1"/>
    <col min="6" max="6" width="25.83203125" customWidth="1"/>
    <col min="7" max="7" width="16.1640625" customWidth="1"/>
    <col min="8" max="8" width="16.83203125" customWidth="1"/>
    <col min="9" max="9" width="11.6640625" customWidth="1"/>
    <col min="10" max="10" width="18.6640625" customWidth="1"/>
    <col min="11" max="11" width="12" customWidth="1"/>
    <col min="12" max="12" width="11.83203125" customWidth="1"/>
    <col min="13" max="13" width="12" customWidth="1"/>
    <col min="14" max="14" width="18" customWidth="1"/>
    <col min="15" max="15" width="14" customWidth="1"/>
  </cols>
  <sheetData>
    <row r="1" spans="1:16" s="2" customFormat="1" ht="40" customHeight="1" x14ac:dyDescent="0.2">
      <c r="A1" s="3" t="s">
        <v>481</v>
      </c>
      <c r="B1" s="3" t="s">
        <v>584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483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hidden="1" x14ac:dyDescent="0.2">
      <c r="B2" s="4" t="str">
        <f>IF(Table1[[#This Row],[ann_name]]="","","x")</f>
        <v/>
      </c>
      <c r="C2" t="s">
        <v>13</v>
      </c>
      <c r="D2" t="s">
        <v>14</v>
      </c>
      <c r="E2" t="s">
        <v>21</v>
      </c>
      <c r="F2" t="s">
        <v>22</v>
      </c>
      <c r="G2" t="s">
        <v>23</v>
      </c>
      <c r="H2" t="s">
        <v>18</v>
      </c>
      <c r="J2" t="s">
        <v>24</v>
      </c>
      <c r="K2" s="1">
        <v>42566</v>
      </c>
      <c r="L2">
        <v>13</v>
      </c>
      <c r="M2">
        <v>30417844</v>
      </c>
    </row>
    <row r="3" spans="1:16" x14ac:dyDescent="0.2">
      <c r="A3" s="4" t="s">
        <v>482</v>
      </c>
      <c r="B3" s="4" t="str">
        <f>IF(Table1[[#This Row],[ann_name]]="","","x")</f>
        <v>x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484</v>
      </c>
      <c r="J3" t="s">
        <v>19</v>
      </c>
      <c r="K3" s="1">
        <v>41243</v>
      </c>
      <c r="L3">
        <v>29</v>
      </c>
      <c r="M3">
        <v>30233745</v>
      </c>
      <c r="N3" t="s">
        <v>20</v>
      </c>
      <c r="O3" s="1">
        <v>41641</v>
      </c>
      <c r="P3">
        <v>10606</v>
      </c>
    </row>
    <row r="4" spans="1:16" x14ac:dyDescent="0.2">
      <c r="A4" s="4" t="s">
        <v>482</v>
      </c>
      <c r="B4" s="4" t="str">
        <f>IF(Table1[[#This Row],[ann_name]]="","","x")</f>
        <v>x</v>
      </c>
      <c r="C4" t="s">
        <v>25</v>
      </c>
      <c r="D4" t="s">
        <v>26</v>
      </c>
      <c r="E4" t="s">
        <v>485</v>
      </c>
      <c r="F4" t="s">
        <v>28</v>
      </c>
      <c r="G4" t="s">
        <v>17</v>
      </c>
      <c r="H4" t="s">
        <v>18</v>
      </c>
      <c r="I4" t="s">
        <v>27</v>
      </c>
      <c r="J4" t="s">
        <v>29</v>
      </c>
      <c r="K4" s="1">
        <v>42501</v>
      </c>
      <c r="L4">
        <v>79</v>
      </c>
      <c r="M4">
        <v>32990834</v>
      </c>
      <c r="N4" t="s">
        <v>70</v>
      </c>
      <c r="O4" s="1">
        <v>42501</v>
      </c>
      <c r="P4">
        <v>13577</v>
      </c>
    </row>
    <row r="5" spans="1:16" hidden="1" x14ac:dyDescent="0.2">
      <c r="B5" s="4" t="str">
        <f>IF(Table1[[#This Row],[ann_name]]="","","x")</f>
        <v>x</v>
      </c>
      <c r="C5" t="s">
        <v>25</v>
      </c>
      <c r="D5" t="s">
        <v>26</v>
      </c>
      <c r="E5" t="s">
        <v>27</v>
      </c>
      <c r="F5" t="s">
        <v>28</v>
      </c>
      <c r="G5" t="s">
        <v>17</v>
      </c>
      <c r="H5" t="s">
        <v>18</v>
      </c>
      <c r="I5" t="s">
        <v>485</v>
      </c>
      <c r="J5" t="s">
        <v>29</v>
      </c>
      <c r="K5" s="1">
        <v>42501</v>
      </c>
      <c r="L5">
        <v>79</v>
      </c>
      <c r="M5">
        <v>32990834</v>
      </c>
      <c r="N5" t="s">
        <v>20</v>
      </c>
      <c r="O5" s="1">
        <v>42639</v>
      </c>
      <c r="P5">
        <v>13577</v>
      </c>
    </row>
    <row r="6" spans="1:16" x14ac:dyDescent="0.2">
      <c r="A6" s="4" t="s">
        <v>482</v>
      </c>
      <c r="B6" s="4" t="str">
        <f>IF(Table1[[#This Row],[ann_name]]="","","x")</f>
        <v/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18</v>
      </c>
      <c r="J6" t="s">
        <v>35</v>
      </c>
      <c r="K6" s="1">
        <v>43066</v>
      </c>
      <c r="L6">
        <v>29</v>
      </c>
      <c r="M6">
        <v>31036461</v>
      </c>
    </row>
    <row r="7" spans="1:16" hidden="1" x14ac:dyDescent="0.2">
      <c r="B7" s="4" t="str">
        <f>IF(Table1[[#This Row],[ann_name]]="","","x")</f>
        <v/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18</v>
      </c>
      <c r="J7" t="s">
        <v>35</v>
      </c>
      <c r="K7" s="1">
        <v>43066</v>
      </c>
      <c r="L7">
        <v>29</v>
      </c>
      <c r="M7">
        <v>31036461</v>
      </c>
      <c r="O7" s="1"/>
    </row>
    <row r="8" spans="1:16" hidden="1" x14ac:dyDescent="0.2">
      <c r="B8" s="4" t="str">
        <f>IF(Table1[[#This Row],[ann_name]]="","","x")</f>
        <v/>
      </c>
      <c r="C8" t="s">
        <v>30</v>
      </c>
      <c r="D8" t="s">
        <v>31</v>
      </c>
      <c r="E8" t="s">
        <v>585</v>
      </c>
      <c r="F8" t="s">
        <v>586</v>
      </c>
      <c r="G8" t="s">
        <v>17</v>
      </c>
      <c r="H8" t="s">
        <v>539</v>
      </c>
      <c r="J8" t="s">
        <v>92</v>
      </c>
      <c r="K8" s="1">
        <v>44672</v>
      </c>
      <c r="L8">
        <v>49</v>
      </c>
      <c r="M8">
        <v>36072007</v>
      </c>
      <c r="O8" s="1"/>
    </row>
    <row r="9" spans="1:16" hidden="1" x14ac:dyDescent="0.2">
      <c r="B9" s="4" t="str">
        <f>IF(Table1[[#This Row],[ann_name]]="","","x")</f>
        <v/>
      </c>
      <c r="C9" t="s">
        <v>30</v>
      </c>
      <c r="D9" t="s">
        <v>31</v>
      </c>
      <c r="E9" t="s">
        <v>587</v>
      </c>
      <c r="F9" t="s">
        <v>588</v>
      </c>
      <c r="G9" t="s">
        <v>34</v>
      </c>
      <c r="H9" t="s">
        <v>539</v>
      </c>
      <c r="J9" t="s">
        <v>589</v>
      </c>
      <c r="K9" s="1">
        <v>44930</v>
      </c>
      <c r="L9">
        <v>251</v>
      </c>
      <c r="M9">
        <v>30596531</v>
      </c>
      <c r="O9" s="1"/>
    </row>
    <row r="10" spans="1:16" hidden="1" x14ac:dyDescent="0.2">
      <c r="B10" s="4" t="str">
        <f>IF(Table1[[#This Row],[ann_name]]="","","x")</f>
        <v/>
      </c>
      <c r="C10" t="s">
        <v>30</v>
      </c>
      <c r="D10" t="s">
        <v>31</v>
      </c>
      <c r="E10" t="s">
        <v>590</v>
      </c>
      <c r="F10" t="s">
        <v>591</v>
      </c>
      <c r="G10" t="s">
        <v>34</v>
      </c>
      <c r="H10" t="s">
        <v>539</v>
      </c>
      <c r="J10" t="s">
        <v>589</v>
      </c>
      <c r="K10" s="1">
        <v>44930</v>
      </c>
      <c r="L10">
        <v>1800</v>
      </c>
      <c r="M10">
        <v>32622430</v>
      </c>
      <c r="O10" s="1"/>
    </row>
    <row r="11" spans="1:16" hidden="1" x14ac:dyDescent="0.2">
      <c r="B11" s="4" t="str">
        <f>IF(Table1[[#This Row],[ann_name]]="","","x")</f>
        <v/>
      </c>
      <c r="C11" t="s">
        <v>30</v>
      </c>
      <c r="D11" t="s">
        <v>31</v>
      </c>
      <c r="E11" t="s">
        <v>592</v>
      </c>
      <c r="F11" t="s">
        <v>593</v>
      </c>
      <c r="G11" t="s">
        <v>34</v>
      </c>
      <c r="H11" t="s">
        <v>539</v>
      </c>
      <c r="J11" t="s">
        <v>594</v>
      </c>
      <c r="K11" s="1">
        <v>39882</v>
      </c>
      <c r="L11">
        <v>3280</v>
      </c>
      <c r="M11">
        <v>29536471</v>
      </c>
      <c r="O11" s="1"/>
    </row>
    <row r="12" spans="1:16" x14ac:dyDescent="0.2">
      <c r="A12" s="4" t="s">
        <v>482</v>
      </c>
      <c r="B12" s="4" t="str">
        <f>IF(Table1[[#This Row],[ann_name]]="","","x")</f>
        <v>x</v>
      </c>
      <c r="C12" t="s">
        <v>43</v>
      </c>
      <c r="D12" t="s">
        <v>44</v>
      </c>
      <c r="E12" t="s">
        <v>45</v>
      </c>
      <c r="F12" t="s">
        <v>46</v>
      </c>
      <c r="G12" t="s">
        <v>17</v>
      </c>
      <c r="H12" t="s">
        <v>18</v>
      </c>
      <c r="J12" t="s">
        <v>47</v>
      </c>
      <c r="K12" s="1">
        <v>42492</v>
      </c>
      <c r="L12">
        <v>82</v>
      </c>
      <c r="M12">
        <v>20313079</v>
      </c>
      <c r="N12" t="s">
        <v>48</v>
      </c>
      <c r="O12" s="1">
        <v>42492</v>
      </c>
      <c r="P12">
        <v>6442</v>
      </c>
    </row>
    <row r="13" spans="1:16" hidden="1" x14ac:dyDescent="0.2">
      <c r="B13" s="4" t="str">
        <f>IF(Table1[[#This Row],[ann_name]]="","","x")</f>
        <v>x</v>
      </c>
      <c r="C13" t="s">
        <v>49</v>
      </c>
      <c r="D13" t="s">
        <v>50</v>
      </c>
      <c r="E13" t="s">
        <v>487</v>
      </c>
      <c r="F13" t="s">
        <v>52</v>
      </c>
      <c r="G13" t="s">
        <v>40</v>
      </c>
      <c r="H13" t="s">
        <v>18</v>
      </c>
      <c r="I13" t="s">
        <v>51</v>
      </c>
      <c r="J13" t="s">
        <v>53</v>
      </c>
      <c r="K13" s="1">
        <v>43751</v>
      </c>
      <c r="L13">
        <v>8</v>
      </c>
      <c r="M13">
        <v>37749288</v>
      </c>
      <c r="N13" t="s">
        <v>54</v>
      </c>
      <c r="O13" s="1">
        <v>44882</v>
      </c>
      <c r="P13">
        <v>13958</v>
      </c>
    </row>
    <row r="14" spans="1:16" x14ac:dyDescent="0.2">
      <c r="A14" s="4" t="s">
        <v>482</v>
      </c>
      <c r="B14" s="4" t="str">
        <f>IF(Table1[[#This Row],[ann_name]]="","","x")</f>
        <v>x</v>
      </c>
      <c r="C14" t="s">
        <v>49</v>
      </c>
      <c r="D14" t="s">
        <v>50</v>
      </c>
      <c r="E14" t="s">
        <v>51</v>
      </c>
      <c r="F14" t="s">
        <v>52</v>
      </c>
      <c r="G14" t="s">
        <v>40</v>
      </c>
      <c r="H14" t="s">
        <v>18</v>
      </c>
      <c r="I14" t="s">
        <v>487</v>
      </c>
      <c r="J14" t="s">
        <v>53</v>
      </c>
      <c r="K14" s="1">
        <v>43751</v>
      </c>
      <c r="L14">
        <v>8</v>
      </c>
      <c r="M14">
        <v>37749288</v>
      </c>
      <c r="N14" t="s">
        <v>54</v>
      </c>
      <c r="O14" s="1">
        <v>45707</v>
      </c>
      <c r="P14">
        <v>13956</v>
      </c>
    </row>
    <row r="15" spans="1:16" hidden="1" x14ac:dyDescent="0.2">
      <c r="B15" s="4" t="str">
        <f>IF(Table1[[#This Row],[ann_name]]="","","x")</f>
        <v>x</v>
      </c>
      <c r="C15" t="s">
        <v>55</v>
      </c>
      <c r="D15" t="s">
        <v>56</v>
      </c>
      <c r="E15" t="s">
        <v>488</v>
      </c>
      <c r="F15" t="s">
        <v>58</v>
      </c>
      <c r="G15" t="s">
        <v>23</v>
      </c>
      <c r="H15" t="s">
        <v>18</v>
      </c>
      <c r="I15" t="s">
        <v>57</v>
      </c>
      <c r="J15" t="s">
        <v>59</v>
      </c>
      <c r="K15" s="1">
        <v>38513</v>
      </c>
      <c r="L15">
        <v>8</v>
      </c>
      <c r="M15">
        <v>29384958</v>
      </c>
      <c r="N15" t="s">
        <v>60</v>
      </c>
      <c r="O15" s="1">
        <v>38513</v>
      </c>
      <c r="P15">
        <v>9916</v>
      </c>
    </row>
    <row r="16" spans="1:16" x14ac:dyDescent="0.2">
      <c r="A16" s="4" t="s">
        <v>482</v>
      </c>
      <c r="B16" s="4" t="str">
        <f>IF(Table1[[#This Row],[ann_name]]="","","x")</f>
        <v>x</v>
      </c>
      <c r="C16" t="s">
        <v>55</v>
      </c>
      <c r="D16" t="s">
        <v>56</v>
      </c>
      <c r="E16" t="s">
        <v>57</v>
      </c>
      <c r="F16" t="s">
        <v>58</v>
      </c>
      <c r="G16" t="s">
        <v>23</v>
      </c>
      <c r="H16" t="s">
        <v>18</v>
      </c>
      <c r="I16" t="s">
        <v>488</v>
      </c>
      <c r="J16" t="s">
        <v>59</v>
      </c>
      <c r="K16" s="1">
        <v>38513</v>
      </c>
      <c r="L16">
        <v>8</v>
      </c>
      <c r="M16">
        <v>29384958</v>
      </c>
      <c r="N16" t="s">
        <v>60</v>
      </c>
      <c r="O16" s="1">
        <v>45730</v>
      </c>
      <c r="P16">
        <v>9914</v>
      </c>
    </row>
    <row r="17" spans="1:16" x14ac:dyDescent="0.2">
      <c r="A17" s="4" t="s">
        <v>482</v>
      </c>
      <c r="B17" s="4" t="str">
        <f>IF(Table1[[#This Row],[ann_name]]="","","x")</f>
        <v>x</v>
      </c>
      <c r="C17" t="s">
        <v>36</v>
      </c>
      <c r="D17" t="s">
        <v>37</v>
      </c>
      <c r="E17" t="s">
        <v>486</v>
      </c>
      <c r="F17" t="s">
        <v>39</v>
      </c>
      <c r="G17" t="s">
        <v>40</v>
      </c>
      <c r="H17" t="s">
        <v>18</v>
      </c>
      <c r="I17" t="s">
        <v>38</v>
      </c>
      <c r="J17" t="s">
        <v>41</v>
      </c>
      <c r="K17" s="1">
        <v>44798</v>
      </c>
      <c r="L17">
        <v>22</v>
      </c>
      <c r="M17">
        <v>40846718</v>
      </c>
      <c r="N17" t="s">
        <v>42</v>
      </c>
      <c r="O17" s="1">
        <v>44798</v>
      </c>
      <c r="P17">
        <v>11661</v>
      </c>
    </row>
    <row r="18" spans="1:16" hidden="1" x14ac:dyDescent="0.2">
      <c r="B18" s="4" t="str">
        <f>IF(Table1[[#This Row],[ann_name]]="","","x")</f>
        <v>x</v>
      </c>
      <c r="C18" t="s">
        <v>36</v>
      </c>
      <c r="D18" t="s">
        <v>37</v>
      </c>
      <c r="E18" t="s">
        <v>38</v>
      </c>
      <c r="F18" t="s">
        <v>39</v>
      </c>
      <c r="G18" t="s">
        <v>40</v>
      </c>
      <c r="H18" t="s">
        <v>18</v>
      </c>
      <c r="I18" t="s">
        <v>486</v>
      </c>
      <c r="J18" t="s">
        <v>41</v>
      </c>
      <c r="K18" s="1">
        <v>44798</v>
      </c>
      <c r="L18">
        <v>22</v>
      </c>
      <c r="M18">
        <v>40846718</v>
      </c>
      <c r="N18" t="s">
        <v>42</v>
      </c>
      <c r="O18" s="1">
        <v>45188</v>
      </c>
      <c r="P18">
        <v>11642</v>
      </c>
    </row>
    <row r="19" spans="1:16" x14ac:dyDescent="0.2">
      <c r="A19" s="4" t="s">
        <v>482</v>
      </c>
      <c r="B19" s="4" t="str">
        <f>IF(Table1[[#This Row],[ann_name]]="","","x")</f>
        <v/>
      </c>
      <c r="C19" t="s">
        <v>61</v>
      </c>
      <c r="D19" t="s">
        <v>62</v>
      </c>
      <c r="E19" t="s">
        <v>63</v>
      </c>
      <c r="F19" t="s">
        <v>64</v>
      </c>
      <c r="G19" t="s">
        <v>34</v>
      </c>
      <c r="H19" t="s">
        <v>18</v>
      </c>
      <c r="J19" t="s">
        <v>65</v>
      </c>
      <c r="K19" s="1">
        <v>44328</v>
      </c>
      <c r="L19">
        <v>8</v>
      </c>
      <c r="M19">
        <v>37673359</v>
      </c>
    </row>
    <row r="20" spans="1:16" x14ac:dyDescent="0.2">
      <c r="A20" s="4" t="s">
        <v>482</v>
      </c>
      <c r="B20" s="4" t="str">
        <f>IF(Table1[[#This Row],[ann_name]]="","","x")</f>
        <v>x</v>
      </c>
      <c r="C20" t="s">
        <v>66</v>
      </c>
      <c r="D20" t="s">
        <v>67</v>
      </c>
      <c r="E20" t="s">
        <v>489</v>
      </c>
      <c r="F20" t="s">
        <v>69</v>
      </c>
      <c r="G20" t="s">
        <v>17</v>
      </c>
      <c r="H20" t="s">
        <v>18</v>
      </c>
      <c r="I20" t="s">
        <v>68</v>
      </c>
      <c r="J20" t="s">
        <v>29</v>
      </c>
      <c r="K20" s="1">
        <v>41828</v>
      </c>
      <c r="L20">
        <v>186</v>
      </c>
      <c r="M20">
        <v>29621078</v>
      </c>
      <c r="N20" t="s">
        <v>70</v>
      </c>
      <c r="O20" s="1">
        <v>41828</v>
      </c>
      <c r="P20">
        <v>11844</v>
      </c>
    </row>
    <row r="21" spans="1:16" hidden="1" x14ac:dyDescent="0.2">
      <c r="B21" s="4" t="str">
        <f>IF(Table1[[#This Row],[ann_name]]="","","x")</f>
        <v>x</v>
      </c>
      <c r="C21" t="s">
        <v>66</v>
      </c>
      <c r="D21" t="s">
        <v>67</v>
      </c>
      <c r="E21" t="s">
        <v>68</v>
      </c>
      <c r="F21" t="s">
        <v>69</v>
      </c>
      <c r="G21" t="s">
        <v>17</v>
      </c>
      <c r="H21" t="s">
        <v>18</v>
      </c>
      <c r="I21" t="s">
        <v>489</v>
      </c>
      <c r="J21" t="s">
        <v>29</v>
      </c>
      <c r="K21" s="1">
        <v>41828</v>
      </c>
      <c r="L21">
        <v>186</v>
      </c>
      <c r="M21">
        <v>29621078</v>
      </c>
      <c r="N21" t="s">
        <v>70</v>
      </c>
      <c r="O21" s="1">
        <v>43658</v>
      </c>
      <c r="P21">
        <v>11844</v>
      </c>
    </row>
    <row r="22" spans="1:16" x14ac:dyDescent="0.2">
      <c r="A22" s="4" t="s">
        <v>482</v>
      </c>
      <c r="B22" s="4" t="str">
        <f>IF(Table1[[#This Row],[ann_name]]="","","x")</f>
        <v>x</v>
      </c>
      <c r="C22" t="s">
        <v>71</v>
      </c>
      <c r="D22" t="s">
        <v>72</v>
      </c>
      <c r="E22" t="s">
        <v>490</v>
      </c>
      <c r="F22" t="s">
        <v>74</v>
      </c>
      <c r="G22" t="s">
        <v>17</v>
      </c>
      <c r="H22" t="s">
        <v>18</v>
      </c>
      <c r="I22" t="s">
        <v>73</v>
      </c>
      <c r="J22" t="s">
        <v>75</v>
      </c>
      <c r="K22" s="1">
        <v>41135</v>
      </c>
      <c r="L22">
        <v>235</v>
      </c>
      <c r="M22">
        <v>33693936</v>
      </c>
      <c r="N22" t="s">
        <v>76</v>
      </c>
      <c r="O22" s="1">
        <v>42081</v>
      </c>
      <c r="P22">
        <v>10364</v>
      </c>
    </row>
    <row r="23" spans="1:16" hidden="1" x14ac:dyDescent="0.2">
      <c r="B23" s="4" t="str">
        <f>IF(Table1[[#This Row],[ann_name]]="","","x")</f>
        <v>x</v>
      </c>
      <c r="C23" t="s">
        <v>71</v>
      </c>
      <c r="D23" t="s">
        <v>72</v>
      </c>
      <c r="E23" t="s">
        <v>73</v>
      </c>
      <c r="F23" t="s">
        <v>74</v>
      </c>
      <c r="G23" t="s">
        <v>17</v>
      </c>
      <c r="H23" t="s">
        <v>18</v>
      </c>
      <c r="I23" t="s">
        <v>490</v>
      </c>
      <c r="J23" t="s">
        <v>75</v>
      </c>
      <c r="K23" s="1">
        <v>41135</v>
      </c>
      <c r="L23">
        <v>235</v>
      </c>
      <c r="M23">
        <v>33693936</v>
      </c>
      <c r="N23" t="s">
        <v>76</v>
      </c>
      <c r="O23" s="1">
        <v>45293</v>
      </c>
      <c r="P23">
        <v>10364</v>
      </c>
    </row>
    <row r="24" spans="1:16" x14ac:dyDescent="0.2">
      <c r="A24" s="4" t="s">
        <v>482</v>
      </c>
      <c r="B24" s="4" t="str">
        <f>IF(Table1[[#This Row],[ann_name]]="","","x")</f>
        <v>x</v>
      </c>
      <c r="C24" t="s">
        <v>77</v>
      </c>
      <c r="D24" t="s">
        <v>78</v>
      </c>
      <c r="E24" t="s">
        <v>79</v>
      </c>
      <c r="F24" t="s">
        <v>80</v>
      </c>
      <c r="G24" t="s">
        <v>23</v>
      </c>
      <c r="H24" t="s">
        <v>18</v>
      </c>
      <c r="J24" t="s">
        <v>81</v>
      </c>
      <c r="K24" s="1">
        <v>44365</v>
      </c>
      <c r="L24">
        <v>11</v>
      </c>
      <c r="M24">
        <v>141403166</v>
      </c>
      <c r="N24" t="s">
        <v>82</v>
      </c>
      <c r="O24" s="1">
        <v>44365</v>
      </c>
      <c r="P24">
        <v>7993</v>
      </c>
    </row>
    <row r="25" spans="1:16" x14ac:dyDescent="0.2">
      <c r="A25" s="4" t="s">
        <v>482</v>
      </c>
      <c r="B25" s="4" t="str">
        <f>IF(Table1[[#This Row],[ann_name]]="","","x")</f>
        <v/>
      </c>
      <c r="C25" t="s">
        <v>83</v>
      </c>
      <c r="D25" t="s">
        <v>84</v>
      </c>
      <c r="E25" t="s">
        <v>85</v>
      </c>
      <c r="F25" t="s">
        <v>86</v>
      </c>
      <c r="G25" t="s">
        <v>17</v>
      </c>
      <c r="H25" t="s">
        <v>18</v>
      </c>
      <c r="J25" t="s">
        <v>87</v>
      </c>
      <c r="K25" s="1">
        <v>43190</v>
      </c>
      <c r="L25">
        <v>318</v>
      </c>
      <c r="M25">
        <v>124489486</v>
      </c>
    </row>
    <row r="26" spans="1:16" hidden="1" x14ac:dyDescent="0.2">
      <c r="B26" s="4" t="str">
        <f>IF(Table1[[#This Row],[ann_name]]="","","x")</f>
        <v>x</v>
      </c>
      <c r="C26" t="s">
        <v>83</v>
      </c>
      <c r="D26" t="s">
        <v>84</v>
      </c>
      <c r="E26" t="s">
        <v>595</v>
      </c>
      <c r="F26" t="s">
        <v>596</v>
      </c>
      <c r="G26" t="s">
        <v>34</v>
      </c>
      <c r="H26" t="s">
        <v>539</v>
      </c>
      <c r="J26" t="s">
        <v>597</v>
      </c>
      <c r="K26" s="1">
        <v>43371</v>
      </c>
      <c r="L26">
        <v>99</v>
      </c>
      <c r="M26">
        <v>116475897</v>
      </c>
      <c r="N26" t="s">
        <v>598</v>
      </c>
      <c r="O26" s="1">
        <v>43371</v>
      </c>
      <c r="P26">
        <v>7147</v>
      </c>
    </row>
    <row r="27" spans="1:16" hidden="1" x14ac:dyDescent="0.2">
      <c r="B27" s="4" t="str">
        <f>IF(Table1[[#This Row],[ann_name]]="","","x")</f>
        <v/>
      </c>
      <c r="C27" t="s">
        <v>83</v>
      </c>
      <c r="D27" t="s">
        <v>84</v>
      </c>
      <c r="E27" t="s">
        <v>599</v>
      </c>
      <c r="F27" t="s">
        <v>600</v>
      </c>
      <c r="G27" t="s">
        <v>34</v>
      </c>
      <c r="H27" t="s">
        <v>539</v>
      </c>
      <c r="J27" t="s">
        <v>601</v>
      </c>
      <c r="K27" s="1">
        <v>41418</v>
      </c>
      <c r="L27">
        <v>21305</v>
      </c>
      <c r="M27">
        <v>47465002</v>
      </c>
      <c r="O27" s="1"/>
    </row>
    <row r="28" spans="1:16" hidden="1" x14ac:dyDescent="0.2">
      <c r="B28" s="4" t="str">
        <f>IF(Table1[[#This Row],[ann_name]]="","","x")</f>
        <v/>
      </c>
      <c r="C28" t="s">
        <v>83</v>
      </c>
      <c r="D28" t="s">
        <v>84</v>
      </c>
      <c r="E28" t="s">
        <v>85</v>
      </c>
      <c r="F28" t="s">
        <v>86</v>
      </c>
      <c r="G28" t="s">
        <v>17</v>
      </c>
      <c r="H28" t="s">
        <v>18</v>
      </c>
      <c r="J28" t="s">
        <v>87</v>
      </c>
      <c r="K28" s="1">
        <v>43190</v>
      </c>
      <c r="L28">
        <v>318</v>
      </c>
      <c r="M28">
        <v>124489486</v>
      </c>
      <c r="O28" s="1"/>
    </row>
    <row r="29" spans="1:16" hidden="1" x14ac:dyDescent="0.2">
      <c r="B29" s="4" t="str">
        <f>IF(Table1[[#This Row],[ann_name]]="","","x")</f>
        <v>x</v>
      </c>
      <c r="C29" t="s">
        <v>83</v>
      </c>
      <c r="D29" t="s">
        <v>84</v>
      </c>
      <c r="E29" t="s">
        <v>602</v>
      </c>
      <c r="F29" t="s">
        <v>603</v>
      </c>
      <c r="G29" t="s">
        <v>17</v>
      </c>
      <c r="H29" t="s">
        <v>539</v>
      </c>
      <c r="J29" t="s">
        <v>604</v>
      </c>
      <c r="K29" s="1">
        <v>41492</v>
      </c>
      <c r="L29">
        <v>6843</v>
      </c>
      <c r="M29">
        <v>118726170</v>
      </c>
      <c r="N29" t="s">
        <v>605</v>
      </c>
      <c r="O29" s="1">
        <v>41492</v>
      </c>
      <c r="P29">
        <v>7088</v>
      </c>
    </row>
    <row r="30" spans="1:16" hidden="1" x14ac:dyDescent="0.2">
      <c r="B30" s="4" t="str">
        <f>IF(Table1[[#This Row],[ann_name]]="","","x")</f>
        <v/>
      </c>
      <c r="C30" t="s">
        <v>83</v>
      </c>
      <c r="D30" t="s">
        <v>84</v>
      </c>
      <c r="E30" t="s">
        <v>606</v>
      </c>
      <c r="F30" t="s">
        <v>607</v>
      </c>
      <c r="G30" t="s">
        <v>34</v>
      </c>
      <c r="H30" t="s">
        <v>539</v>
      </c>
      <c r="J30" t="s">
        <v>601</v>
      </c>
      <c r="K30" s="1">
        <v>41418</v>
      </c>
      <c r="L30">
        <v>20359</v>
      </c>
      <c r="M30">
        <v>53786025</v>
      </c>
      <c r="O30" s="1"/>
    </row>
    <row r="31" spans="1:16" hidden="1" x14ac:dyDescent="0.2">
      <c r="B31" s="4" t="str">
        <f>IF(Table1[[#This Row],[ann_name]]="","","x")</f>
        <v/>
      </c>
      <c r="C31" t="s">
        <v>83</v>
      </c>
      <c r="D31" t="s">
        <v>84</v>
      </c>
      <c r="E31" t="s">
        <v>608</v>
      </c>
      <c r="F31" t="s">
        <v>609</v>
      </c>
      <c r="G31" t="s">
        <v>34</v>
      </c>
      <c r="H31" t="s">
        <v>539</v>
      </c>
      <c r="J31" t="s">
        <v>87</v>
      </c>
      <c r="K31" s="1">
        <v>44671</v>
      </c>
      <c r="L31">
        <v>1440</v>
      </c>
      <c r="M31">
        <v>117367246</v>
      </c>
      <c r="O31" s="1"/>
    </row>
    <row r="32" spans="1:16" hidden="1" x14ac:dyDescent="0.2">
      <c r="B32" s="4" t="str">
        <f>IF(Table1[[#This Row],[ann_name]]="","","x")</f>
        <v>x</v>
      </c>
      <c r="C32" t="s">
        <v>94</v>
      </c>
      <c r="D32" t="s">
        <v>95</v>
      </c>
      <c r="E32" t="s">
        <v>491</v>
      </c>
      <c r="F32" t="s">
        <v>97</v>
      </c>
      <c r="G32" t="s">
        <v>40</v>
      </c>
      <c r="H32" t="s">
        <v>18</v>
      </c>
      <c r="I32" t="s">
        <v>96</v>
      </c>
      <c r="J32" t="s">
        <v>98</v>
      </c>
      <c r="K32" s="1">
        <v>42040</v>
      </c>
      <c r="L32">
        <v>18</v>
      </c>
      <c r="M32">
        <v>42630066</v>
      </c>
      <c r="N32" t="s">
        <v>99</v>
      </c>
      <c r="O32" s="1">
        <v>43104</v>
      </c>
      <c r="P32">
        <v>11703</v>
      </c>
    </row>
    <row r="33" spans="1:16" x14ac:dyDescent="0.2">
      <c r="A33" s="4" t="s">
        <v>482</v>
      </c>
      <c r="B33" s="4" t="str">
        <f>IF(Table1[[#This Row],[ann_name]]="","","x")</f>
        <v>x</v>
      </c>
      <c r="C33" t="s">
        <v>94</v>
      </c>
      <c r="D33" t="s">
        <v>95</v>
      </c>
      <c r="E33" t="s">
        <v>96</v>
      </c>
      <c r="F33" t="s">
        <v>97</v>
      </c>
      <c r="G33" t="s">
        <v>40</v>
      </c>
      <c r="H33" t="s">
        <v>18</v>
      </c>
      <c r="I33" t="s">
        <v>491</v>
      </c>
      <c r="J33" t="s">
        <v>98</v>
      </c>
      <c r="K33" s="1">
        <v>42040</v>
      </c>
      <c r="L33">
        <v>18</v>
      </c>
      <c r="M33">
        <v>42630066</v>
      </c>
      <c r="N33" t="s">
        <v>99</v>
      </c>
      <c r="O33" s="1">
        <v>43207</v>
      </c>
      <c r="P33">
        <v>11698</v>
      </c>
    </row>
    <row r="34" spans="1:16" x14ac:dyDescent="0.2">
      <c r="A34" s="4" t="s">
        <v>482</v>
      </c>
      <c r="B34" s="4" t="str">
        <f>IF(Table1[[#This Row],[ann_name]]="","","x")</f>
        <v>x</v>
      </c>
      <c r="C34" t="s">
        <v>88</v>
      </c>
      <c r="D34" t="s">
        <v>89</v>
      </c>
      <c r="E34" t="s">
        <v>90</v>
      </c>
      <c r="F34" t="s">
        <v>91</v>
      </c>
      <c r="G34" t="s">
        <v>34</v>
      </c>
      <c r="H34" t="s">
        <v>18</v>
      </c>
      <c r="J34" t="s">
        <v>92</v>
      </c>
      <c r="K34" s="1">
        <v>43944</v>
      </c>
      <c r="L34">
        <v>88</v>
      </c>
      <c r="M34">
        <v>51758482</v>
      </c>
      <c r="N34" t="s">
        <v>93</v>
      </c>
      <c r="O34" s="1">
        <v>43944</v>
      </c>
      <c r="P34">
        <v>14118</v>
      </c>
    </row>
    <row r="35" spans="1:16" x14ac:dyDescent="0.2">
      <c r="A35" s="4" t="s">
        <v>482</v>
      </c>
      <c r="B35" s="4" t="str">
        <f>IF(Table1[[#This Row],[ann_name]]="","","x")</f>
        <v/>
      </c>
      <c r="C35" t="s">
        <v>100</v>
      </c>
      <c r="D35" t="s">
        <v>101</v>
      </c>
      <c r="E35" t="s">
        <v>102</v>
      </c>
      <c r="F35" t="s">
        <v>103</v>
      </c>
      <c r="G35" t="s">
        <v>34</v>
      </c>
      <c r="H35" t="s">
        <v>18</v>
      </c>
      <c r="J35" t="s">
        <v>104</v>
      </c>
      <c r="K35" s="1">
        <v>44770</v>
      </c>
      <c r="L35">
        <v>26</v>
      </c>
      <c r="M35">
        <v>49771809</v>
      </c>
    </row>
    <row r="36" spans="1:16" hidden="1" x14ac:dyDescent="0.2">
      <c r="B36" s="4" t="str">
        <f>IF(Table1[[#This Row],[ann_name]]="","","x")</f>
        <v/>
      </c>
      <c r="C36" t="s">
        <v>100</v>
      </c>
      <c r="D36" t="s">
        <v>101</v>
      </c>
      <c r="E36" t="s">
        <v>102</v>
      </c>
      <c r="F36" t="s">
        <v>103</v>
      </c>
      <c r="G36" t="s">
        <v>34</v>
      </c>
      <c r="H36" t="s">
        <v>18</v>
      </c>
      <c r="J36" t="s">
        <v>104</v>
      </c>
      <c r="K36" s="1">
        <v>44770</v>
      </c>
      <c r="L36">
        <v>26</v>
      </c>
      <c r="M36">
        <v>49771809</v>
      </c>
      <c r="O36" s="1"/>
    </row>
    <row r="37" spans="1:16" hidden="1" x14ac:dyDescent="0.2">
      <c r="B37" s="4" t="str">
        <f>IF(Table1[[#This Row],[ann_name]]="","","x")</f>
        <v>x</v>
      </c>
      <c r="C37" t="s">
        <v>100</v>
      </c>
      <c r="D37" t="s">
        <v>101</v>
      </c>
      <c r="E37" t="s">
        <v>610</v>
      </c>
      <c r="F37" t="s">
        <v>611</v>
      </c>
      <c r="G37" t="s">
        <v>17</v>
      </c>
      <c r="H37" t="s">
        <v>539</v>
      </c>
      <c r="J37" t="s">
        <v>104</v>
      </c>
      <c r="K37" s="1">
        <v>43567</v>
      </c>
      <c r="L37">
        <v>5591</v>
      </c>
      <c r="M37">
        <v>47563060</v>
      </c>
      <c r="N37" t="s">
        <v>612</v>
      </c>
      <c r="O37" s="1">
        <v>43567</v>
      </c>
      <c r="P37">
        <v>12620</v>
      </c>
    </row>
    <row r="38" spans="1:16" hidden="1" x14ac:dyDescent="0.2">
      <c r="B38" s="4" t="str">
        <f>IF(Table1[[#This Row],[ann_name]]="","","x")</f>
        <v>x</v>
      </c>
      <c r="C38" t="s">
        <v>100</v>
      </c>
      <c r="D38" t="s">
        <v>101</v>
      </c>
      <c r="E38" t="s">
        <v>613</v>
      </c>
      <c r="F38" t="s">
        <v>614</v>
      </c>
      <c r="G38" t="s">
        <v>34</v>
      </c>
      <c r="H38" t="s">
        <v>539</v>
      </c>
      <c r="J38" t="s">
        <v>104</v>
      </c>
      <c r="K38" s="1">
        <v>44124</v>
      </c>
      <c r="L38">
        <v>137</v>
      </c>
      <c r="M38">
        <v>47665151</v>
      </c>
      <c r="N38" t="s">
        <v>612</v>
      </c>
      <c r="O38" s="1">
        <v>44124</v>
      </c>
      <c r="P38">
        <v>12431</v>
      </c>
    </row>
    <row r="39" spans="1:16" hidden="1" x14ac:dyDescent="0.2">
      <c r="B39" s="4" t="str">
        <f>IF(Table1[[#This Row],[ann_name]]="","","x")</f>
        <v>x</v>
      </c>
      <c r="C39" t="s">
        <v>105</v>
      </c>
      <c r="D39" t="s">
        <v>106</v>
      </c>
      <c r="E39" t="s">
        <v>492</v>
      </c>
      <c r="F39" t="s">
        <v>108</v>
      </c>
      <c r="G39" t="s">
        <v>23</v>
      </c>
      <c r="H39" t="s">
        <v>18</v>
      </c>
      <c r="I39" t="s">
        <v>107</v>
      </c>
      <c r="J39" t="s">
        <v>109</v>
      </c>
      <c r="K39" s="1">
        <v>42655</v>
      </c>
      <c r="L39">
        <v>8</v>
      </c>
      <c r="M39">
        <v>14282666</v>
      </c>
      <c r="N39" t="s">
        <v>110</v>
      </c>
      <c r="O39" s="1">
        <v>42711</v>
      </c>
      <c r="P39">
        <v>6263</v>
      </c>
    </row>
    <row r="40" spans="1:16" x14ac:dyDescent="0.2">
      <c r="A40" s="4" t="s">
        <v>482</v>
      </c>
      <c r="B40" s="4" t="str">
        <f>IF(Table1[[#This Row],[ann_name]]="","","x")</f>
        <v>x</v>
      </c>
      <c r="C40" t="s">
        <v>105</v>
      </c>
      <c r="D40" t="s">
        <v>106</v>
      </c>
      <c r="E40" t="s">
        <v>107</v>
      </c>
      <c r="F40" t="s">
        <v>108</v>
      </c>
      <c r="G40" t="s">
        <v>23</v>
      </c>
      <c r="H40" t="s">
        <v>18</v>
      </c>
      <c r="I40" t="s">
        <v>492</v>
      </c>
      <c r="J40" t="s">
        <v>109</v>
      </c>
      <c r="K40" s="1">
        <v>42655</v>
      </c>
      <c r="L40">
        <v>8</v>
      </c>
      <c r="M40">
        <v>14282666</v>
      </c>
      <c r="N40" t="s">
        <v>110</v>
      </c>
      <c r="O40" s="1">
        <v>44669</v>
      </c>
      <c r="P40">
        <v>6263</v>
      </c>
    </row>
    <row r="41" spans="1:16" x14ac:dyDescent="0.2">
      <c r="A41" s="4" t="s">
        <v>482</v>
      </c>
      <c r="B41" s="4" t="str">
        <f>IF(Table1[[#This Row],[ann_name]]="","","x")</f>
        <v>x</v>
      </c>
      <c r="C41" t="s">
        <v>111</v>
      </c>
      <c r="D41" t="s">
        <v>112</v>
      </c>
      <c r="E41" t="s">
        <v>493</v>
      </c>
      <c r="F41" t="s">
        <v>114</v>
      </c>
      <c r="G41" t="s">
        <v>34</v>
      </c>
      <c r="H41" t="s">
        <v>18</v>
      </c>
      <c r="I41" t="s">
        <v>113</v>
      </c>
      <c r="J41" t="s">
        <v>115</v>
      </c>
      <c r="K41" s="1">
        <v>40842</v>
      </c>
      <c r="L41">
        <v>8</v>
      </c>
      <c r="M41">
        <v>12998393</v>
      </c>
      <c r="N41" t="s">
        <v>116</v>
      </c>
      <c r="O41" s="1">
        <v>41109</v>
      </c>
      <c r="P41">
        <v>5907</v>
      </c>
    </row>
    <row r="42" spans="1:16" hidden="1" x14ac:dyDescent="0.2">
      <c r="B42" s="4" t="str">
        <f>IF(Table1[[#This Row],[ann_name]]="","","x")</f>
        <v>x</v>
      </c>
      <c r="C42" t="s">
        <v>111</v>
      </c>
      <c r="D42" t="s">
        <v>112</v>
      </c>
      <c r="E42" t="s">
        <v>113</v>
      </c>
      <c r="F42" t="s">
        <v>114</v>
      </c>
      <c r="G42" t="s">
        <v>34</v>
      </c>
      <c r="H42" t="s">
        <v>18</v>
      </c>
      <c r="I42" t="s">
        <v>493</v>
      </c>
      <c r="J42" t="s">
        <v>115</v>
      </c>
      <c r="K42" s="1">
        <v>40842</v>
      </c>
      <c r="L42">
        <v>8</v>
      </c>
      <c r="M42">
        <v>12998393</v>
      </c>
      <c r="N42" t="s">
        <v>116</v>
      </c>
      <c r="O42" s="1">
        <v>45019</v>
      </c>
      <c r="P42">
        <v>5950</v>
      </c>
    </row>
    <row r="43" spans="1:16" hidden="1" x14ac:dyDescent="0.2">
      <c r="B43" s="4" t="str">
        <f>IF(Table1[[#This Row],[ann_name]]="","","x")</f>
        <v/>
      </c>
      <c r="C43" t="s">
        <v>117</v>
      </c>
      <c r="D43" t="s">
        <v>118</v>
      </c>
      <c r="E43" t="s">
        <v>119</v>
      </c>
      <c r="F43" t="s">
        <v>120</v>
      </c>
      <c r="G43" t="s">
        <v>40</v>
      </c>
      <c r="H43" t="s">
        <v>18</v>
      </c>
      <c r="J43" t="s">
        <v>121</v>
      </c>
      <c r="K43" s="1">
        <v>45742</v>
      </c>
      <c r="L43">
        <v>16</v>
      </c>
      <c r="M43">
        <v>41500454</v>
      </c>
      <c r="O43" s="1"/>
    </row>
    <row r="44" spans="1:16" hidden="1" x14ac:dyDescent="0.2">
      <c r="B44" s="4" t="str">
        <f>IF(Table1[[#This Row],[ann_name]]="","","x")</f>
        <v/>
      </c>
      <c r="C44" t="s">
        <v>117</v>
      </c>
      <c r="D44" t="s">
        <v>118</v>
      </c>
      <c r="E44" t="s">
        <v>537</v>
      </c>
      <c r="F44" t="s">
        <v>538</v>
      </c>
      <c r="G44" t="s">
        <v>40</v>
      </c>
      <c r="H44" t="s">
        <v>539</v>
      </c>
      <c r="J44" t="s">
        <v>121</v>
      </c>
      <c r="K44" s="1">
        <v>45742</v>
      </c>
      <c r="L44">
        <v>16</v>
      </c>
      <c r="M44">
        <v>41053716</v>
      </c>
      <c r="O44" s="1"/>
    </row>
    <row r="45" spans="1:16" hidden="1" x14ac:dyDescent="0.2">
      <c r="B45" s="4" t="str">
        <f>IF(Table1[[#This Row],[ann_name]]="","","x")</f>
        <v/>
      </c>
      <c r="C45" t="s">
        <v>117</v>
      </c>
      <c r="D45" t="s">
        <v>118</v>
      </c>
      <c r="E45" t="s">
        <v>122</v>
      </c>
      <c r="F45" t="s">
        <v>123</v>
      </c>
      <c r="G45" t="s">
        <v>17</v>
      </c>
      <c r="H45" t="s">
        <v>18</v>
      </c>
      <c r="J45" t="s">
        <v>124</v>
      </c>
      <c r="K45" s="1">
        <v>45357</v>
      </c>
      <c r="L45">
        <v>3091</v>
      </c>
      <c r="M45">
        <v>41322102</v>
      </c>
      <c r="O45" s="1"/>
    </row>
    <row r="46" spans="1:16" hidden="1" x14ac:dyDescent="0.2">
      <c r="B46" s="4" t="str">
        <f>IF(Table1[[#This Row],[ann_name]]="","","x")</f>
        <v>x</v>
      </c>
      <c r="C46" t="s">
        <v>117</v>
      </c>
      <c r="D46" t="s">
        <v>118</v>
      </c>
      <c r="E46" t="s">
        <v>540</v>
      </c>
      <c r="F46" t="s">
        <v>541</v>
      </c>
      <c r="G46" t="s">
        <v>17</v>
      </c>
      <c r="H46" t="s">
        <v>539</v>
      </c>
      <c r="J46" t="s">
        <v>29</v>
      </c>
      <c r="K46" s="1">
        <v>44426</v>
      </c>
      <c r="L46">
        <v>8028</v>
      </c>
      <c r="M46">
        <v>47284605</v>
      </c>
      <c r="N46" t="s">
        <v>70</v>
      </c>
      <c r="O46" s="1">
        <v>44426</v>
      </c>
      <c r="P46">
        <v>11922</v>
      </c>
    </row>
    <row r="47" spans="1:16" hidden="1" x14ac:dyDescent="0.2">
      <c r="B47" s="4" t="str">
        <f>IF(Table1[[#This Row],[ann_name]]="","","x")</f>
        <v>x</v>
      </c>
      <c r="C47" t="s">
        <v>117</v>
      </c>
      <c r="D47" t="s">
        <v>118</v>
      </c>
      <c r="E47" t="s">
        <v>542</v>
      </c>
      <c r="F47" t="s">
        <v>543</v>
      </c>
      <c r="G47" t="s">
        <v>17</v>
      </c>
      <c r="H47" t="s">
        <v>539</v>
      </c>
      <c r="J47" t="s">
        <v>29</v>
      </c>
      <c r="K47" s="1">
        <v>44426</v>
      </c>
      <c r="L47">
        <v>8904</v>
      </c>
      <c r="M47">
        <v>52465834</v>
      </c>
      <c r="N47" t="s">
        <v>70</v>
      </c>
      <c r="O47" s="1">
        <v>44426</v>
      </c>
      <c r="P47">
        <v>15196</v>
      </c>
    </row>
    <row r="48" spans="1:16" hidden="1" x14ac:dyDescent="0.2">
      <c r="B48" s="4" t="str">
        <f>IF(Table1[[#This Row],[ann_name]]="","","x")</f>
        <v>x</v>
      </c>
      <c r="C48" t="s">
        <v>117</v>
      </c>
      <c r="D48" t="s">
        <v>118</v>
      </c>
      <c r="E48" t="s">
        <v>544</v>
      </c>
      <c r="F48" t="s">
        <v>545</v>
      </c>
      <c r="G48" t="s">
        <v>17</v>
      </c>
      <c r="H48" t="s">
        <v>539</v>
      </c>
      <c r="J48" t="s">
        <v>29</v>
      </c>
      <c r="K48" s="1">
        <v>44424</v>
      </c>
      <c r="L48">
        <v>8562</v>
      </c>
      <c r="M48">
        <v>53454525</v>
      </c>
      <c r="N48" t="s">
        <v>70</v>
      </c>
      <c r="O48" s="1">
        <v>44424</v>
      </c>
      <c r="P48">
        <v>18995</v>
      </c>
    </row>
    <row r="49" spans="1:16" hidden="1" x14ac:dyDescent="0.2">
      <c r="B49" s="4" t="str">
        <f>IF(Table1[[#This Row],[ann_name]]="","","x")</f>
        <v>x</v>
      </c>
      <c r="C49" t="s">
        <v>117</v>
      </c>
      <c r="D49" t="s">
        <v>118</v>
      </c>
      <c r="E49" t="s">
        <v>546</v>
      </c>
      <c r="F49" t="s">
        <v>547</v>
      </c>
      <c r="G49" t="s">
        <v>17</v>
      </c>
      <c r="H49" t="s">
        <v>539</v>
      </c>
      <c r="J49" t="s">
        <v>29</v>
      </c>
      <c r="K49" s="1">
        <v>44424</v>
      </c>
      <c r="L49">
        <v>8769</v>
      </c>
      <c r="M49">
        <v>67010313</v>
      </c>
      <c r="N49" t="s">
        <v>70</v>
      </c>
      <c r="O49" s="1">
        <v>44424</v>
      </c>
      <c r="P49">
        <v>21017</v>
      </c>
    </row>
    <row r="50" spans="1:16" hidden="1" x14ac:dyDescent="0.2">
      <c r="B50" s="4" t="str">
        <f>IF(Table1[[#This Row],[ann_name]]="","","x")</f>
        <v>x</v>
      </c>
      <c r="C50" t="s">
        <v>117</v>
      </c>
      <c r="D50" t="s">
        <v>118</v>
      </c>
      <c r="E50" t="s">
        <v>548</v>
      </c>
      <c r="F50" t="s">
        <v>549</v>
      </c>
      <c r="G50" t="s">
        <v>17</v>
      </c>
      <c r="H50" t="s">
        <v>539</v>
      </c>
      <c r="J50" t="s">
        <v>29</v>
      </c>
      <c r="K50" s="1">
        <v>44424</v>
      </c>
      <c r="L50">
        <v>4161</v>
      </c>
      <c r="M50">
        <v>50425407</v>
      </c>
      <c r="N50" t="s">
        <v>70</v>
      </c>
      <c r="O50" s="1">
        <v>44424</v>
      </c>
      <c r="P50">
        <v>12328</v>
      </c>
    </row>
    <row r="51" spans="1:16" hidden="1" x14ac:dyDescent="0.2">
      <c r="B51" s="4" t="str">
        <f>IF(Table1[[#This Row],[ann_name]]="","","x")</f>
        <v>x</v>
      </c>
      <c r="C51" t="s">
        <v>117</v>
      </c>
      <c r="D51" t="s">
        <v>118</v>
      </c>
      <c r="E51" t="s">
        <v>550</v>
      </c>
      <c r="F51" t="s">
        <v>551</v>
      </c>
      <c r="G51" t="s">
        <v>17</v>
      </c>
      <c r="H51" t="s">
        <v>539</v>
      </c>
      <c r="J51" t="s">
        <v>29</v>
      </c>
      <c r="K51" s="1">
        <v>44424</v>
      </c>
      <c r="L51">
        <v>15380</v>
      </c>
      <c r="M51">
        <v>66434938</v>
      </c>
      <c r="N51" t="s">
        <v>70</v>
      </c>
      <c r="O51" s="1">
        <v>44424</v>
      </c>
      <c r="P51">
        <v>15109</v>
      </c>
    </row>
    <row r="52" spans="1:16" hidden="1" x14ac:dyDescent="0.2">
      <c r="B52" s="4" t="str">
        <f>IF(Table1[[#This Row],[ann_name]]="","","x")</f>
        <v>x</v>
      </c>
      <c r="C52" t="s">
        <v>117</v>
      </c>
      <c r="D52" t="s">
        <v>118</v>
      </c>
      <c r="E52" t="s">
        <v>552</v>
      </c>
      <c r="F52" t="s">
        <v>553</v>
      </c>
      <c r="G52" t="s">
        <v>17</v>
      </c>
      <c r="H52" t="s">
        <v>539</v>
      </c>
      <c r="J52" t="s">
        <v>29</v>
      </c>
      <c r="K52" s="1">
        <v>44424</v>
      </c>
      <c r="L52">
        <v>8999</v>
      </c>
      <c r="M52">
        <v>69097995</v>
      </c>
      <c r="N52" t="s">
        <v>70</v>
      </c>
      <c r="O52" s="1">
        <v>44424</v>
      </c>
      <c r="P52">
        <v>25249</v>
      </c>
    </row>
    <row r="53" spans="1:16" hidden="1" x14ac:dyDescent="0.2">
      <c r="B53" s="4" t="str">
        <f>IF(Table1[[#This Row],[ann_name]]="","","x")</f>
        <v>x</v>
      </c>
      <c r="C53" t="s">
        <v>117</v>
      </c>
      <c r="D53" t="s">
        <v>118</v>
      </c>
      <c r="E53" t="s">
        <v>554</v>
      </c>
      <c r="F53" t="s">
        <v>555</v>
      </c>
      <c r="G53" t="s">
        <v>40</v>
      </c>
      <c r="H53" t="s">
        <v>539</v>
      </c>
      <c r="J53" t="s">
        <v>372</v>
      </c>
      <c r="K53" s="1">
        <v>44245</v>
      </c>
      <c r="L53">
        <v>16</v>
      </c>
      <c r="M53">
        <v>48401997</v>
      </c>
      <c r="N53" t="s">
        <v>373</v>
      </c>
      <c r="O53" s="1">
        <v>44245</v>
      </c>
      <c r="P53">
        <v>14626</v>
      </c>
    </row>
    <row r="54" spans="1:16" hidden="1" x14ac:dyDescent="0.2">
      <c r="B54" s="4" t="str">
        <f>IF(Table1[[#This Row],[ann_name]]="","","x")</f>
        <v>x</v>
      </c>
      <c r="C54" t="s">
        <v>117</v>
      </c>
      <c r="D54" t="s">
        <v>118</v>
      </c>
      <c r="E54" t="s">
        <v>556</v>
      </c>
      <c r="F54" t="s">
        <v>557</v>
      </c>
      <c r="G54" t="s">
        <v>40</v>
      </c>
      <c r="H54" t="s">
        <v>539</v>
      </c>
      <c r="J54" t="s">
        <v>372</v>
      </c>
      <c r="K54" s="1">
        <v>44245</v>
      </c>
      <c r="L54">
        <v>32</v>
      </c>
      <c r="M54">
        <v>96290521</v>
      </c>
      <c r="N54" t="s">
        <v>373</v>
      </c>
      <c r="O54" s="1">
        <v>44245</v>
      </c>
      <c r="P54">
        <v>29234</v>
      </c>
    </row>
    <row r="55" spans="1:16" hidden="1" x14ac:dyDescent="0.2">
      <c r="B55" s="4" t="str">
        <f>IF(Table1[[#This Row],[ann_name]]="","","x")</f>
        <v>x</v>
      </c>
      <c r="C55" t="s">
        <v>117</v>
      </c>
      <c r="D55" t="s">
        <v>118</v>
      </c>
      <c r="E55" t="s">
        <v>558</v>
      </c>
      <c r="F55" t="s">
        <v>559</v>
      </c>
      <c r="G55" t="s">
        <v>17</v>
      </c>
      <c r="H55" t="s">
        <v>539</v>
      </c>
      <c r="J55" t="s">
        <v>29</v>
      </c>
      <c r="K55" s="1">
        <v>44131</v>
      </c>
      <c r="L55">
        <v>913</v>
      </c>
      <c r="M55">
        <v>58444101</v>
      </c>
      <c r="N55" t="s">
        <v>70</v>
      </c>
      <c r="O55" s="1">
        <v>44145</v>
      </c>
      <c r="P55">
        <v>18182</v>
      </c>
    </row>
    <row r="56" spans="1:16" hidden="1" x14ac:dyDescent="0.2">
      <c r="B56" s="4" t="str">
        <f>IF(Table1[[#This Row],[ann_name]]="","","x")</f>
        <v/>
      </c>
      <c r="C56" t="s">
        <v>117</v>
      </c>
      <c r="D56" t="s">
        <v>118</v>
      </c>
      <c r="E56" t="s">
        <v>560</v>
      </c>
      <c r="F56" t="s">
        <v>561</v>
      </c>
      <c r="G56" t="s">
        <v>17</v>
      </c>
      <c r="H56" t="s">
        <v>539</v>
      </c>
      <c r="J56" t="s">
        <v>183</v>
      </c>
      <c r="K56" s="1">
        <v>45357</v>
      </c>
      <c r="L56">
        <v>17</v>
      </c>
      <c r="M56">
        <v>53633150</v>
      </c>
      <c r="O56" s="1"/>
    </row>
    <row r="57" spans="1:16" x14ac:dyDescent="0.2">
      <c r="A57" s="4" t="s">
        <v>482</v>
      </c>
      <c r="B57" s="4" t="str">
        <f>IF(Table1[[#This Row],[ann_name]]="","","x")</f>
        <v/>
      </c>
      <c r="C57" t="s">
        <v>117</v>
      </c>
      <c r="D57" t="s">
        <v>118</v>
      </c>
      <c r="E57" t="s">
        <v>562</v>
      </c>
      <c r="F57" t="s">
        <v>563</v>
      </c>
      <c r="G57" t="s">
        <v>17</v>
      </c>
      <c r="H57" t="s">
        <v>539</v>
      </c>
      <c r="J57" t="s">
        <v>564</v>
      </c>
      <c r="K57" s="1">
        <v>44818</v>
      </c>
      <c r="L57">
        <v>13085</v>
      </c>
      <c r="M57">
        <v>88334453</v>
      </c>
      <c r="O57" s="1"/>
    </row>
    <row r="58" spans="1:16" hidden="1" x14ac:dyDescent="0.2">
      <c r="B58" s="4" t="str">
        <f>IF(Table1[[#This Row],[ann_name]]="","","x")</f>
        <v/>
      </c>
      <c r="C58" t="s">
        <v>117</v>
      </c>
      <c r="D58" t="s">
        <v>118</v>
      </c>
      <c r="E58" t="s">
        <v>565</v>
      </c>
      <c r="F58" t="s">
        <v>566</v>
      </c>
      <c r="G58" t="s">
        <v>17</v>
      </c>
      <c r="H58" t="s">
        <v>539</v>
      </c>
      <c r="J58" t="s">
        <v>567</v>
      </c>
      <c r="K58" s="1">
        <v>45699</v>
      </c>
      <c r="L58">
        <v>373</v>
      </c>
      <c r="M58">
        <v>99499756</v>
      </c>
      <c r="O58" s="1"/>
    </row>
    <row r="59" spans="1:16" hidden="1" x14ac:dyDescent="0.2">
      <c r="B59" s="4" t="str">
        <f>IF(Table1[[#This Row],[ann_name]]="","","x")</f>
        <v>x</v>
      </c>
      <c r="C59" t="s">
        <v>117</v>
      </c>
      <c r="D59" t="s">
        <v>118</v>
      </c>
      <c r="E59" t="s">
        <v>568</v>
      </c>
      <c r="F59" t="s">
        <v>569</v>
      </c>
      <c r="G59" t="s">
        <v>17</v>
      </c>
      <c r="H59" t="s">
        <v>539</v>
      </c>
      <c r="J59" t="s">
        <v>570</v>
      </c>
      <c r="K59" s="1">
        <v>44426</v>
      </c>
      <c r="L59">
        <v>7239</v>
      </c>
      <c r="M59">
        <v>47766782</v>
      </c>
      <c r="N59" t="s">
        <v>571</v>
      </c>
      <c r="O59" s="1">
        <v>44426</v>
      </c>
      <c r="P59">
        <v>16804</v>
      </c>
    </row>
    <row r="60" spans="1:16" hidden="1" x14ac:dyDescent="0.2">
      <c r="B60" s="4" t="str">
        <f>IF(Table1[[#This Row],[ann_name]]="","","x")</f>
        <v/>
      </c>
      <c r="C60" t="s">
        <v>117</v>
      </c>
      <c r="D60" t="s">
        <v>118</v>
      </c>
      <c r="E60" t="s">
        <v>125</v>
      </c>
      <c r="F60" t="s">
        <v>126</v>
      </c>
      <c r="G60" t="s">
        <v>34</v>
      </c>
      <c r="H60" t="s">
        <v>18</v>
      </c>
      <c r="J60" t="s">
        <v>127</v>
      </c>
      <c r="K60" s="1">
        <v>45387</v>
      </c>
      <c r="L60">
        <v>546</v>
      </c>
      <c r="M60">
        <v>33255833</v>
      </c>
      <c r="O60" s="1"/>
    </row>
    <row r="61" spans="1:16" hidden="1" x14ac:dyDescent="0.2">
      <c r="B61" s="4" t="str">
        <f>IF(Table1[[#This Row],[ann_name]]="","","x")</f>
        <v>x</v>
      </c>
      <c r="C61" t="s">
        <v>117</v>
      </c>
      <c r="D61" t="s">
        <v>118</v>
      </c>
      <c r="E61" t="s">
        <v>572</v>
      </c>
      <c r="F61" t="s">
        <v>573</v>
      </c>
      <c r="G61" t="s">
        <v>34</v>
      </c>
      <c r="H61" t="s">
        <v>539</v>
      </c>
      <c r="J61" t="s">
        <v>245</v>
      </c>
      <c r="K61" s="1">
        <v>43753</v>
      </c>
      <c r="L61">
        <v>1240</v>
      </c>
      <c r="M61">
        <v>31201167</v>
      </c>
      <c r="N61" t="s">
        <v>246</v>
      </c>
      <c r="O61" s="1">
        <v>43753</v>
      </c>
      <c r="P61">
        <v>9262</v>
      </c>
    </row>
    <row r="62" spans="1:16" hidden="1" x14ac:dyDescent="0.2">
      <c r="B62" s="4" t="str">
        <f>IF(Table1[[#This Row],[ann_name]]="","","x")</f>
        <v/>
      </c>
      <c r="C62" t="s">
        <v>117</v>
      </c>
      <c r="D62" t="s">
        <v>118</v>
      </c>
      <c r="E62" t="s">
        <v>574</v>
      </c>
      <c r="F62" t="s">
        <v>575</v>
      </c>
      <c r="G62" t="s">
        <v>17</v>
      </c>
      <c r="H62" t="s">
        <v>539</v>
      </c>
      <c r="J62" t="s">
        <v>576</v>
      </c>
      <c r="K62" s="1">
        <v>43950</v>
      </c>
      <c r="L62">
        <v>4661</v>
      </c>
      <c r="M62">
        <v>38567257</v>
      </c>
      <c r="O62" s="1"/>
    </row>
    <row r="63" spans="1:16" x14ac:dyDescent="0.2">
      <c r="A63" s="4" t="s">
        <v>482</v>
      </c>
      <c r="B63" s="4" t="str">
        <f>IF(Table1[[#This Row],[ann_name]]="","","x")</f>
        <v/>
      </c>
      <c r="C63" t="s">
        <v>128</v>
      </c>
      <c r="D63" t="s">
        <v>129</v>
      </c>
      <c r="E63" t="s">
        <v>130</v>
      </c>
      <c r="F63" t="s">
        <v>131</v>
      </c>
      <c r="G63" t="s">
        <v>40</v>
      </c>
      <c r="H63" t="s">
        <v>18</v>
      </c>
      <c r="J63" t="s">
        <v>132</v>
      </c>
      <c r="K63" s="1">
        <v>44911</v>
      </c>
      <c r="L63">
        <v>9</v>
      </c>
      <c r="M63">
        <v>58715541</v>
      </c>
    </row>
    <row r="64" spans="1:16" x14ac:dyDescent="0.2">
      <c r="A64" s="4" t="s">
        <v>482</v>
      </c>
      <c r="B64" s="4" t="str">
        <f>IF(Table1[[#This Row],[ann_name]]="","","x")</f>
        <v>x</v>
      </c>
      <c r="C64" t="s">
        <v>150</v>
      </c>
      <c r="D64" t="s">
        <v>151</v>
      </c>
      <c r="E64" t="s">
        <v>496</v>
      </c>
      <c r="F64" t="s">
        <v>153</v>
      </c>
      <c r="G64" t="s">
        <v>34</v>
      </c>
      <c r="H64" t="s">
        <v>18</v>
      </c>
      <c r="I64" t="s">
        <v>152</v>
      </c>
      <c r="J64" t="s">
        <v>154</v>
      </c>
      <c r="K64" s="1">
        <v>40345</v>
      </c>
      <c r="L64">
        <v>13</v>
      </c>
      <c r="M64">
        <v>36150142</v>
      </c>
      <c r="N64" t="s">
        <v>155</v>
      </c>
      <c r="O64" s="1">
        <v>40345</v>
      </c>
      <c r="P64">
        <v>13657</v>
      </c>
    </row>
    <row r="65" spans="1:16" hidden="1" x14ac:dyDescent="0.2">
      <c r="B65" s="4" t="str">
        <f>IF(Table1[[#This Row],[ann_name]]="","","x")</f>
        <v>x</v>
      </c>
      <c r="C65" t="s">
        <v>150</v>
      </c>
      <c r="D65" t="s">
        <v>151</v>
      </c>
      <c r="E65" t="s">
        <v>152</v>
      </c>
      <c r="F65" t="s">
        <v>153</v>
      </c>
      <c r="G65" t="s">
        <v>34</v>
      </c>
      <c r="H65" t="s">
        <v>18</v>
      </c>
      <c r="I65" t="s">
        <v>496</v>
      </c>
      <c r="J65" t="s">
        <v>154</v>
      </c>
      <c r="K65" s="1">
        <v>40345</v>
      </c>
      <c r="L65">
        <v>13</v>
      </c>
      <c r="M65">
        <v>36150142</v>
      </c>
      <c r="N65" t="s">
        <v>155</v>
      </c>
      <c r="O65" s="1">
        <v>42983</v>
      </c>
      <c r="P65">
        <v>13657</v>
      </c>
    </row>
    <row r="66" spans="1:16" x14ac:dyDescent="0.2">
      <c r="A66" s="4" t="s">
        <v>482</v>
      </c>
      <c r="B66" s="4" t="str">
        <f>IF(Table1[[#This Row],[ann_name]]="","","x")</f>
        <v>x</v>
      </c>
      <c r="C66" t="s">
        <v>133</v>
      </c>
      <c r="D66" t="s">
        <v>134</v>
      </c>
      <c r="E66" t="s">
        <v>494</v>
      </c>
      <c r="F66" t="s">
        <v>136</v>
      </c>
      <c r="G66" t="s">
        <v>17</v>
      </c>
      <c r="H66" t="s">
        <v>18</v>
      </c>
      <c r="I66" t="s">
        <v>135</v>
      </c>
      <c r="J66" t="s">
        <v>137</v>
      </c>
      <c r="K66" s="1">
        <v>43921</v>
      </c>
      <c r="L66">
        <v>128</v>
      </c>
      <c r="M66">
        <v>61904035</v>
      </c>
      <c r="N66" t="s">
        <v>138</v>
      </c>
      <c r="O66" s="1">
        <v>43921</v>
      </c>
      <c r="P66">
        <v>15672</v>
      </c>
    </row>
    <row r="67" spans="1:16" hidden="1" x14ac:dyDescent="0.2">
      <c r="B67" s="4" t="str">
        <f>IF(Table1[[#This Row],[ann_name]]="","","x")</f>
        <v>x</v>
      </c>
      <c r="C67" t="s">
        <v>133</v>
      </c>
      <c r="D67" t="s">
        <v>134</v>
      </c>
      <c r="E67" t="s">
        <v>135</v>
      </c>
      <c r="F67" t="s">
        <v>136</v>
      </c>
      <c r="G67" t="s">
        <v>17</v>
      </c>
      <c r="H67" t="s">
        <v>18</v>
      </c>
      <c r="I67" t="s">
        <v>494</v>
      </c>
      <c r="J67" t="s">
        <v>137</v>
      </c>
      <c r="K67" s="1">
        <v>43921</v>
      </c>
      <c r="L67">
        <v>128</v>
      </c>
      <c r="M67">
        <v>61904035</v>
      </c>
      <c r="N67" t="s">
        <v>138</v>
      </c>
      <c r="O67" s="1">
        <v>44618</v>
      </c>
      <c r="P67">
        <v>15667</v>
      </c>
    </row>
    <row r="68" spans="1:16" x14ac:dyDescent="0.2">
      <c r="A68" s="4" t="s">
        <v>482</v>
      </c>
      <c r="B68" s="4" t="str">
        <f>IF(Table1[[#This Row],[ann_name]]="","","x")</f>
        <v>x</v>
      </c>
      <c r="C68" t="s">
        <v>139</v>
      </c>
      <c r="D68" t="s">
        <v>140</v>
      </c>
      <c r="E68" t="s">
        <v>495</v>
      </c>
      <c r="F68" t="s">
        <v>142</v>
      </c>
      <c r="G68" t="s">
        <v>23</v>
      </c>
      <c r="H68" t="s">
        <v>18</v>
      </c>
      <c r="I68" t="s">
        <v>141</v>
      </c>
      <c r="J68" t="s">
        <v>143</v>
      </c>
      <c r="K68" s="1">
        <v>42542</v>
      </c>
      <c r="L68">
        <v>12</v>
      </c>
      <c r="M68">
        <v>50716103</v>
      </c>
      <c r="N68" t="s">
        <v>144</v>
      </c>
      <c r="O68" s="1">
        <v>42542</v>
      </c>
      <c r="P68">
        <v>14651</v>
      </c>
    </row>
    <row r="69" spans="1:16" hidden="1" x14ac:dyDescent="0.2">
      <c r="B69" s="4" t="str">
        <f>IF(Table1[[#This Row],[ann_name]]="","","x")</f>
        <v>x</v>
      </c>
      <c r="C69" t="s">
        <v>139</v>
      </c>
      <c r="D69" t="s">
        <v>140</v>
      </c>
      <c r="E69" t="s">
        <v>141</v>
      </c>
      <c r="F69" t="s">
        <v>142</v>
      </c>
      <c r="G69" t="s">
        <v>23</v>
      </c>
      <c r="H69" t="s">
        <v>18</v>
      </c>
      <c r="I69" t="s">
        <v>495</v>
      </c>
      <c r="J69" t="s">
        <v>143</v>
      </c>
      <c r="K69" s="1">
        <v>42542</v>
      </c>
      <c r="L69">
        <v>12</v>
      </c>
      <c r="M69">
        <v>50716103</v>
      </c>
      <c r="N69" t="s">
        <v>144</v>
      </c>
      <c r="O69" s="1">
        <v>44618</v>
      </c>
      <c r="P69">
        <v>14651</v>
      </c>
    </row>
    <row r="70" spans="1:16" x14ac:dyDescent="0.2">
      <c r="A70" s="4" t="s">
        <v>482</v>
      </c>
      <c r="B70" s="4" t="str">
        <f>IF(Table1[[#This Row],[ann_name]]="","","x")</f>
        <v>x</v>
      </c>
      <c r="C70" t="s">
        <v>156</v>
      </c>
      <c r="D70" t="s">
        <v>157</v>
      </c>
      <c r="E70" t="s">
        <v>497</v>
      </c>
      <c r="F70" t="s">
        <v>159</v>
      </c>
      <c r="G70" t="s">
        <v>17</v>
      </c>
      <c r="H70" t="s">
        <v>18</v>
      </c>
      <c r="I70" t="s">
        <v>158</v>
      </c>
      <c r="J70" t="s">
        <v>160</v>
      </c>
      <c r="K70" s="1">
        <v>40798</v>
      </c>
      <c r="L70">
        <v>32</v>
      </c>
      <c r="M70">
        <v>32268578</v>
      </c>
      <c r="N70" t="s">
        <v>161</v>
      </c>
      <c r="O70" s="1">
        <v>42077</v>
      </c>
      <c r="P70">
        <v>9651</v>
      </c>
    </row>
    <row r="71" spans="1:16" hidden="1" x14ac:dyDescent="0.2">
      <c r="B71" s="4" t="str">
        <f>IF(Table1[[#This Row],[ann_name]]="","","x")</f>
        <v>x</v>
      </c>
      <c r="C71" t="s">
        <v>156</v>
      </c>
      <c r="D71" t="s">
        <v>157</v>
      </c>
      <c r="E71" t="s">
        <v>158</v>
      </c>
      <c r="F71" t="s">
        <v>159</v>
      </c>
      <c r="G71" t="s">
        <v>17</v>
      </c>
      <c r="H71" t="s">
        <v>18</v>
      </c>
      <c r="I71" t="s">
        <v>497</v>
      </c>
      <c r="J71" t="s">
        <v>160</v>
      </c>
      <c r="K71" s="1">
        <v>40798</v>
      </c>
      <c r="L71">
        <v>32</v>
      </c>
      <c r="M71">
        <v>32268578</v>
      </c>
      <c r="N71" t="s">
        <v>161</v>
      </c>
      <c r="O71" s="1">
        <v>45293</v>
      </c>
      <c r="P71">
        <v>9651</v>
      </c>
    </row>
    <row r="72" spans="1:16" x14ac:dyDescent="0.2">
      <c r="A72" s="4" t="s">
        <v>482</v>
      </c>
      <c r="B72" s="4" t="str">
        <f>IF(Table1[[#This Row],[ann_name]]="","","x")</f>
        <v/>
      </c>
      <c r="C72" t="s">
        <v>145</v>
      </c>
      <c r="D72" t="s">
        <v>146</v>
      </c>
      <c r="E72" t="s">
        <v>147</v>
      </c>
      <c r="F72" t="s">
        <v>148</v>
      </c>
      <c r="G72" t="s">
        <v>34</v>
      </c>
      <c r="H72" t="s">
        <v>18</v>
      </c>
      <c r="J72" t="s">
        <v>149</v>
      </c>
      <c r="K72" s="1">
        <v>44495</v>
      </c>
      <c r="L72">
        <v>74</v>
      </c>
      <c r="M72">
        <v>67666679</v>
      </c>
    </row>
    <row r="73" spans="1:16" hidden="1" x14ac:dyDescent="0.2">
      <c r="B73" s="4" t="str">
        <f>IF(Table1[[#This Row],[ann_name]]="","","x")</f>
        <v/>
      </c>
      <c r="C73" t="s">
        <v>145</v>
      </c>
      <c r="D73" t="s">
        <v>146</v>
      </c>
      <c r="E73" t="s">
        <v>147</v>
      </c>
      <c r="F73" t="s">
        <v>148</v>
      </c>
      <c r="G73" t="s">
        <v>34</v>
      </c>
      <c r="H73" t="s">
        <v>18</v>
      </c>
      <c r="J73" t="s">
        <v>149</v>
      </c>
      <c r="K73" s="1">
        <v>44495</v>
      </c>
      <c r="L73">
        <v>74</v>
      </c>
      <c r="M73">
        <v>67666679</v>
      </c>
      <c r="O73" s="1"/>
    </row>
    <row r="74" spans="1:16" hidden="1" x14ac:dyDescent="0.2">
      <c r="B74" s="4" t="str">
        <f>IF(Table1[[#This Row],[ann_name]]="","","x")</f>
        <v>x</v>
      </c>
      <c r="C74" t="s">
        <v>145</v>
      </c>
      <c r="D74" t="s">
        <v>146</v>
      </c>
      <c r="E74" t="s">
        <v>615</v>
      </c>
      <c r="F74" t="s">
        <v>616</v>
      </c>
      <c r="G74" t="s">
        <v>17</v>
      </c>
      <c r="H74" t="s">
        <v>539</v>
      </c>
      <c r="J74" t="s">
        <v>617</v>
      </c>
      <c r="K74" s="1">
        <v>41786</v>
      </c>
      <c r="L74">
        <v>1625</v>
      </c>
      <c r="M74">
        <v>46755813</v>
      </c>
      <c r="N74" t="s">
        <v>618</v>
      </c>
      <c r="O74" s="1">
        <v>41786</v>
      </c>
      <c r="P74">
        <v>12699</v>
      </c>
    </row>
    <row r="75" spans="1:16" hidden="1" x14ac:dyDescent="0.2">
      <c r="B75" s="4" t="str">
        <f>IF(Table1[[#This Row],[ann_name]]="","","x")</f>
        <v/>
      </c>
      <c r="C75" t="s">
        <v>145</v>
      </c>
      <c r="D75" t="s">
        <v>146</v>
      </c>
      <c r="E75" t="s">
        <v>619</v>
      </c>
      <c r="F75" t="s">
        <v>620</v>
      </c>
      <c r="G75" t="s">
        <v>17</v>
      </c>
      <c r="H75" t="s">
        <v>539</v>
      </c>
      <c r="J75" t="s">
        <v>621</v>
      </c>
      <c r="K75" s="1">
        <v>42748</v>
      </c>
      <c r="L75">
        <v>548</v>
      </c>
      <c r="M75">
        <v>64848627</v>
      </c>
      <c r="O75" s="1"/>
    </row>
    <row r="76" spans="1:16" hidden="1" x14ac:dyDescent="0.2">
      <c r="B76" s="4" t="str">
        <f>IF(Table1[[#This Row],[ann_name]]="","","x")</f>
        <v>x</v>
      </c>
      <c r="C76" t="s">
        <v>145</v>
      </c>
      <c r="D76" t="s">
        <v>146</v>
      </c>
      <c r="E76" t="s">
        <v>622</v>
      </c>
      <c r="F76" t="s">
        <v>623</v>
      </c>
      <c r="G76" t="s">
        <v>17</v>
      </c>
      <c r="H76" t="s">
        <v>539</v>
      </c>
      <c r="J76" t="s">
        <v>29</v>
      </c>
      <c r="K76" s="1">
        <v>45160</v>
      </c>
      <c r="L76">
        <v>1434</v>
      </c>
      <c r="M76">
        <v>46916122</v>
      </c>
      <c r="N76" t="s">
        <v>70</v>
      </c>
      <c r="O76" s="1">
        <v>45187</v>
      </c>
      <c r="P76">
        <v>15508</v>
      </c>
    </row>
    <row r="77" spans="1:16" x14ac:dyDescent="0.2">
      <c r="A77" s="4" t="s">
        <v>482</v>
      </c>
      <c r="B77" s="4" t="str">
        <f>IF(Table1[[#This Row],[ann_name]]="","","x")</f>
        <v>x</v>
      </c>
      <c r="C77" t="s">
        <v>162</v>
      </c>
      <c r="D77" t="s">
        <v>163</v>
      </c>
      <c r="E77" t="s">
        <v>498</v>
      </c>
      <c r="F77" t="s">
        <v>165</v>
      </c>
      <c r="G77" t="s">
        <v>23</v>
      </c>
      <c r="H77" t="s">
        <v>18</v>
      </c>
      <c r="I77" t="s">
        <v>164</v>
      </c>
      <c r="J77" t="s">
        <v>166</v>
      </c>
      <c r="K77" s="1">
        <v>40555</v>
      </c>
      <c r="L77">
        <v>14</v>
      </c>
      <c r="M77">
        <v>18374760</v>
      </c>
      <c r="N77" t="s">
        <v>167</v>
      </c>
      <c r="O77" s="1">
        <v>41913</v>
      </c>
      <c r="P77">
        <v>6580</v>
      </c>
    </row>
    <row r="78" spans="1:16" hidden="1" x14ac:dyDescent="0.2">
      <c r="B78" s="4" t="str">
        <f>IF(Table1[[#This Row],[ann_name]]="","","x")</f>
        <v>x</v>
      </c>
      <c r="C78" t="s">
        <v>162</v>
      </c>
      <c r="D78" t="s">
        <v>163</v>
      </c>
      <c r="E78" t="s">
        <v>164</v>
      </c>
      <c r="F78" t="s">
        <v>165</v>
      </c>
      <c r="G78" t="s">
        <v>23</v>
      </c>
      <c r="H78" t="s">
        <v>18</v>
      </c>
      <c r="I78" t="s">
        <v>498</v>
      </c>
      <c r="J78" t="s">
        <v>166</v>
      </c>
      <c r="K78" s="1">
        <v>40555</v>
      </c>
      <c r="L78">
        <v>14</v>
      </c>
      <c r="M78">
        <v>18374760</v>
      </c>
      <c r="N78" t="s">
        <v>167</v>
      </c>
      <c r="O78" s="1">
        <v>45030</v>
      </c>
      <c r="P78">
        <v>6580</v>
      </c>
    </row>
    <row r="79" spans="1:16" x14ac:dyDescent="0.2">
      <c r="A79" s="4" t="s">
        <v>482</v>
      </c>
      <c r="B79" s="4" t="str">
        <f>IF(Table1[[#This Row],[ann_name]]="","","x")</f>
        <v>x</v>
      </c>
      <c r="C79" t="s">
        <v>168</v>
      </c>
      <c r="D79" t="s">
        <v>169</v>
      </c>
      <c r="E79" t="s">
        <v>499</v>
      </c>
      <c r="F79" t="s">
        <v>171</v>
      </c>
      <c r="G79" t="s">
        <v>23</v>
      </c>
      <c r="H79" t="s">
        <v>18</v>
      </c>
      <c r="I79" t="s">
        <v>170</v>
      </c>
      <c r="J79" t="s">
        <v>172</v>
      </c>
      <c r="K79" s="1">
        <v>38359</v>
      </c>
      <c r="L79">
        <v>14</v>
      </c>
      <c r="M79">
        <v>19051922</v>
      </c>
      <c r="N79" t="s">
        <v>173</v>
      </c>
      <c r="O79" s="1">
        <v>42389</v>
      </c>
      <c r="P79">
        <v>7004</v>
      </c>
    </row>
    <row r="80" spans="1:16" hidden="1" x14ac:dyDescent="0.2">
      <c r="B80" s="4" t="str">
        <f>IF(Table1[[#This Row],[ann_name]]="","","x")</f>
        <v>x</v>
      </c>
      <c r="C80" t="s">
        <v>168</v>
      </c>
      <c r="D80" t="s">
        <v>169</v>
      </c>
      <c r="E80" t="s">
        <v>170</v>
      </c>
      <c r="F80" t="s">
        <v>171</v>
      </c>
      <c r="G80" t="s">
        <v>23</v>
      </c>
      <c r="H80" t="s">
        <v>18</v>
      </c>
      <c r="I80" t="s">
        <v>499</v>
      </c>
      <c r="J80" t="s">
        <v>172</v>
      </c>
      <c r="K80" s="1">
        <v>38359</v>
      </c>
      <c r="L80">
        <v>14</v>
      </c>
      <c r="M80">
        <v>19051922</v>
      </c>
      <c r="N80" t="s">
        <v>173</v>
      </c>
      <c r="O80" s="1">
        <v>43201</v>
      </c>
      <c r="P80">
        <v>7004</v>
      </c>
    </row>
    <row r="81" spans="1:16" x14ac:dyDescent="0.2">
      <c r="A81" s="4" t="s">
        <v>482</v>
      </c>
      <c r="B81" s="4" t="str">
        <f>IF(Table1[[#This Row],[ann_name]]="","","x")</f>
        <v/>
      </c>
      <c r="C81" t="s">
        <v>174</v>
      </c>
      <c r="D81" t="s">
        <v>175</v>
      </c>
      <c r="E81" t="s">
        <v>176</v>
      </c>
      <c r="F81" t="s">
        <v>177</v>
      </c>
      <c r="G81" t="s">
        <v>17</v>
      </c>
      <c r="H81" t="s">
        <v>18</v>
      </c>
      <c r="J81" t="s">
        <v>178</v>
      </c>
      <c r="K81" s="1">
        <v>43591</v>
      </c>
      <c r="L81">
        <v>737</v>
      </c>
      <c r="M81">
        <v>33535945</v>
      </c>
    </row>
    <row r="82" spans="1:16" x14ac:dyDescent="0.2">
      <c r="A82" s="4" t="s">
        <v>482</v>
      </c>
      <c r="B82" s="4" t="str">
        <f>IF(Table1[[#This Row],[ann_name]]="","","x")</f>
        <v/>
      </c>
      <c r="C82" t="s">
        <v>179</v>
      </c>
      <c r="D82" t="s">
        <v>180</v>
      </c>
      <c r="E82" t="s">
        <v>181</v>
      </c>
      <c r="F82" t="s">
        <v>182</v>
      </c>
      <c r="G82" t="s">
        <v>34</v>
      </c>
      <c r="H82" t="s">
        <v>18</v>
      </c>
      <c r="J82" t="s">
        <v>183</v>
      </c>
      <c r="K82" s="1">
        <v>43553</v>
      </c>
      <c r="L82">
        <v>23</v>
      </c>
      <c r="M82">
        <v>33448292</v>
      </c>
    </row>
    <row r="83" spans="1:16" x14ac:dyDescent="0.2">
      <c r="A83" s="4" t="s">
        <v>482</v>
      </c>
      <c r="B83" s="4" t="str">
        <f>IF(Table1[[#This Row],[ann_name]]="","","x")</f>
        <v>x</v>
      </c>
      <c r="C83" t="s">
        <v>184</v>
      </c>
      <c r="D83" t="s">
        <v>185</v>
      </c>
      <c r="E83" t="s">
        <v>186</v>
      </c>
      <c r="F83" t="s">
        <v>187</v>
      </c>
      <c r="G83" t="s">
        <v>17</v>
      </c>
      <c r="H83" t="s">
        <v>18</v>
      </c>
      <c r="J83" t="s">
        <v>188</v>
      </c>
      <c r="K83" s="1">
        <v>42856</v>
      </c>
      <c r="L83">
        <v>227</v>
      </c>
      <c r="M83">
        <v>34744152</v>
      </c>
      <c r="N83" t="s">
        <v>189</v>
      </c>
      <c r="O83" s="1">
        <v>42856</v>
      </c>
      <c r="P83">
        <v>12190</v>
      </c>
    </row>
    <row r="84" spans="1:16" x14ac:dyDescent="0.2">
      <c r="A84" s="4" t="s">
        <v>482</v>
      </c>
      <c r="B84" s="4" t="str">
        <f>IF(Table1[[#This Row],[ann_name]]="","","x")</f>
        <v/>
      </c>
      <c r="C84" t="s">
        <v>196</v>
      </c>
      <c r="D84" t="s">
        <v>197</v>
      </c>
      <c r="E84" t="s">
        <v>198</v>
      </c>
      <c r="F84" t="s">
        <v>199</v>
      </c>
      <c r="G84" t="s">
        <v>17</v>
      </c>
      <c r="H84" t="s">
        <v>18</v>
      </c>
      <c r="J84" t="s">
        <v>200</v>
      </c>
      <c r="K84" s="1">
        <v>44362</v>
      </c>
      <c r="L84">
        <v>277</v>
      </c>
      <c r="M84">
        <v>40359588</v>
      </c>
    </row>
    <row r="85" spans="1:16" hidden="1" x14ac:dyDescent="0.2">
      <c r="B85" s="4" t="str">
        <f>IF(Table1[[#This Row],[ann_name]]="","","x")</f>
        <v>x</v>
      </c>
      <c r="C85" t="s">
        <v>201</v>
      </c>
      <c r="D85" t="s">
        <v>202</v>
      </c>
      <c r="E85" t="s">
        <v>500</v>
      </c>
      <c r="F85" t="s">
        <v>204</v>
      </c>
      <c r="G85" t="s">
        <v>23</v>
      </c>
      <c r="H85" t="s">
        <v>18</v>
      </c>
      <c r="I85" t="s">
        <v>203</v>
      </c>
      <c r="J85" t="s">
        <v>205</v>
      </c>
      <c r="K85" s="1">
        <v>39773</v>
      </c>
      <c r="L85">
        <v>4</v>
      </c>
      <c r="M85">
        <v>36458046</v>
      </c>
      <c r="N85" t="s">
        <v>206</v>
      </c>
      <c r="O85" s="1">
        <v>41600</v>
      </c>
      <c r="P85">
        <v>13726</v>
      </c>
    </row>
    <row r="86" spans="1:16" x14ac:dyDescent="0.2">
      <c r="A86" s="4" t="s">
        <v>482</v>
      </c>
      <c r="B86" s="4" t="str">
        <f>IF(Table1[[#This Row],[ann_name]]="","","x")</f>
        <v>x</v>
      </c>
      <c r="C86" t="s">
        <v>201</v>
      </c>
      <c r="D86" t="s">
        <v>202</v>
      </c>
      <c r="E86" t="s">
        <v>203</v>
      </c>
      <c r="F86" t="s">
        <v>204</v>
      </c>
      <c r="G86" t="s">
        <v>23</v>
      </c>
      <c r="H86" t="s">
        <v>18</v>
      </c>
      <c r="I86" t="s">
        <v>500</v>
      </c>
      <c r="J86" t="s">
        <v>205</v>
      </c>
      <c r="K86" s="1">
        <v>39773</v>
      </c>
      <c r="L86">
        <v>4</v>
      </c>
      <c r="M86">
        <v>36458046</v>
      </c>
      <c r="N86" t="s">
        <v>206</v>
      </c>
      <c r="O86" s="1">
        <v>45293</v>
      </c>
      <c r="P86">
        <v>13725</v>
      </c>
    </row>
    <row r="87" spans="1:16" x14ac:dyDescent="0.2">
      <c r="A87" s="4" t="s">
        <v>482</v>
      </c>
      <c r="B87" s="4" t="str">
        <f>IF(Table1[[#This Row],[ann_name]]="","","x")</f>
        <v>x</v>
      </c>
      <c r="C87" t="s">
        <v>190</v>
      </c>
      <c r="D87" t="s">
        <v>191</v>
      </c>
      <c r="E87" t="s">
        <v>192</v>
      </c>
      <c r="F87" t="s">
        <v>193</v>
      </c>
      <c r="G87" t="s">
        <v>34</v>
      </c>
      <c r="H87" t="s">
        <v>18</v>
      </c>
      <c r="J87" t="s">
        <v>194</v>
      </c>
      <c r="K87" s="1">
        <v>44511</v>
      </c>
      <c r="L87">
        <v>27134</v>
      </c>
      <c r="M87">
        <v>145719962</v>
      </c>
      <c r="N87" t="s">
        <v>195</v>
      </c>
      <c r="O87" s="1">
        <v>44511</v>
      </c>
      <c r="P87">
        <v>16857</v>
      </c>
    </row>
    <row r="88" spans="1:16" x14ac:dyDescent="0.2">
      <c r="A88" s="4" t="s">
        <v>482</v>
      </c>
      <c r="B88" s="4" t="str">
        <f>IF(Table1[[#This Row],[ann_name]]="","","x")</f>
        <v>x</v>
      </c>
      <c r="C88" t="s">
        <v>207</v>
      </c>
      <c r="D88" t="s">
        <v>208</v>
      </c>
      <c r="E88" t="s">
        <v>501</v>
      </c>
      <c r="F88" t="s">
        <v>210</v>
      </c>
      <c r="G88" t="s">
        <v>40</v>
      </c>
      <c r="H88" t="s">
        <v>18</v>
      </c>
      <c r="I88" t="s">
        <v>209</v>
      </c>
      <c r="J88" t="s">
        <v>211</v>
      </c>
      <c r="K88" s="1">
        <v>43964</v>
      </c>
      <c r="L88">
        <v>12</v>
      </c>
      <c r="M88">
        <v>50358849</v>
      </c>
      <c r="N88" t="s">
        <v>212</v>
      </c>
      <c r="O88" s="1">
        <v>45098</v>
      </c>
      <c r="P88">
        <v>16502</v>
      </c>
    </row>
    <row r="89" spans="1:16" hidden="1" x14ac:dyDescent="0.2">
      <c r="B89" s="4" t="str">
        <f>IF(Table1[[#This Row],[ann_name]]="","","x")</f>
        <v>x</v>
      </c>
      <c r="C89" t="s">
        <v>207</v>
      </c>
      <c r="D89" t="s">
        <v>208</v>
      </c>
      <c r="E89" t="s">
        <v>209</v>
      </c>
      <c r="F89" t="s">
        <v>210</v>
      </c>
      <c r="G89" t="s">
        <v>40</v>
      </c>
      <c r="H89" t="s">
        <v>18</v>
      </c>
      <c r="I89" t="s">
        <v>501</v>
      </c>
      <c r="J89" t="s">
        <v>211</v>
      </c>
      <c r="K89" s="1">
        <v>43964</v>
      </c>
      <c r="L89">
        <v>12</v>
      </c>
      <c r="M89">
        <v>50358849</v>
      </c>
      <c r="N89" t="s">
        <v>212</v>
      </c>
      <c r="O89" s="1">
        <v>45184</v>
      </c>
      <c r="P89">
        <v>16502</v>
      </c>
    </row>
    <row r="90" spans="1:16" x14ac:dyDescent="0.2">
      <c r="A90" s="4" t="s">
        <v>482</v>
      </c>
      <c r="B90" s="4" t="str">
        <f>IF(Table1[[#This Row],[ann_name]]="","","x")</f>
        <v>x</v>
      </c>
      <c r="C90" t="s">
        <v>213</v>
      </c>
      <c r="D90" t="s">
        <v>214</v>
      </c>
      <c r="E90" t="s">
        <v>215</v>
      </c>
      <c r="F90" t="s">
        <v>216</v>
      </c>
      <c r="G90" t="s">
        <v>17</v>
      </c>
      <c r="H90" t="s">
        <v>18</v>
      </c>
      <c r="J90" t="s">
        <v>217</v>
      </c>
      <c r="K90" s="1">
        <v>43046</v>
      </c>
      <c r="L90">
        <v>69</v>
      </c>
      <c r="M90">
        <v>48955697</v>
      </c>
      <c r="N90" t="s">
        <v>218</v>
      </c>
      <c r="O90" s="1">
        <v>43046</v>
      </c>
      <c r="P90">
        <v>15478</v>
      </c>
    </row>
    <row r="91" spans="1:16" x14ac:dyDescent="0.2">
      <c r="A91" s="4" t="s">
        <v>482</v>
      </c>
      <c r="B91" s="4" t="str">
        <f>IF(Table1[[#This Row],[ann_name]]="","","x")</f>
        <v>x</v>
      </c>
      <c r="C91" t="s">
        <v>219</v>
      </c>
      <c r="D91" t="s">
        <v>220</v>
      </c>
      <c r="E91" t="s">
        <v>221</v>
      </c>
      <c r="F91" t="s">
        <v>222</v>
      </c>
      <c r="G91" t="s">
        <v>17</v>
      </c>
      <c r="H91" t="s">
        <v>18</v>
      </c>
      <c r="J91" t="s">
        <v>223</v>
      </c>
      <c r="K91" s="1">
        <v>43829</v>
      </c>
      <c r="L91">
        <v>6489</v>
      </c>
      <c r="M91">
        <v>773098546</v>
      </c>
      <c r="N91" t="s">
        <v>224</v>
      </c>
      <c r="O91" s="1">
        <v>43829</v>
      </c>
      <c r="P91">
        <v>26596</v>
      </c>
    </row>
    <row r="92" spans="1:16" x14ac:dyDescent="0.2">
      <c r="A92" s="4" t="s">
        <v>482</v>
      </c>
      <c r="B92" s="4" t="str">
        <f>IF(Table1[[#This Row],[ann_name]]="","","x")</f>
        <v>x</v>
      </c>
      <c r="C92" t="s">
        <v>225</v>
      </c>
      <c r="D92" t="s">
        <v>226</v>
      </c>
      <c r="E92" t="s">
        <v>502</v>
      </c>
      <c r="F92" t="s">
        <v>228</v>
      </c>
      <c r="G92" t="s">
        <v>17</v>
      </c>
      <c r="H92" t="s">
        <v>18</v>
      </c>
      <c r="I92" t="s">
        <v>227</v>
      </c>
      <c r="J92" t="s">
        <v>229</v>
      </c>
      <c r="K92" s="1">
        <v>39895</v>
      </c>
      <c r="L92">
        <v>86</v>
      </c>
      <c r="M92">
        <v>30438878</v>
      </c>
      <c r="N92" t="s">
        <v>230</v>
      </c>
      <c r="O92" s="1">
        <v>42074</v>
      </c>
      <c r="P92">
        <v>9364</v>
      </c>
    </row>
    <row r="93" spans="1:16" hidden="1" x14ac:dyDescent="0.2">
      <c r="B93" s="4" t="str">
        <f>IF(Table1[[#This Row],[ann_name]]="","","x")</f>
        <v>x</v>
      </c>
      <c r="C93" t="s">
        <v>225</v>
      </c>
      <c r="D93" t="s">
        <v>226</v>
      </c>
      <c r="E93" t="s">
        <v>227</v>
      </c>
      <c r="F93" t="s">
        <v>228</v>
      </c>
      <c r="G93" t="s">
        <v>17</v>
      </c>
      <c r="H93" t="s">
        <v>18</v>
      </c>
      <c r="I93" t="s">
        <v>502</v>
      </c>
      <c r="J93" t="s">
        <v>229</v>
      </c>
      <c r="K93" s="1">
        <v>39895</v>
      </c>
      <c r="L93">
        <v>86</v>
      </c>
      <c r="M93">
        <v>30438878</v>
      </c>
      <c r="N93" t="s">
        <v>230</v>
      </c>
      <c r="O93" s="1">
        <v>44670</v>
      </c>
      <c r="P93">
        <v>9363</v>
      </c>
    </row>
    <row r="94" spans="1:16" x14ac:dyDescent="0.2">
      <c r="A94" s="4" t="s">
        <v>482</v>
      </c>
      <c r="B94" s="4" t="str">
        <f>IF(Table1[[#This Row],[ann_name]]="","","x")</f>
        <v>x</v>
      </c>
      <c r="C94" t="s">
        <v>231</v>
      </c>
      <c r="D94" t="s">
        <v>232</v>
      </c>
      <c r="E94" t="s">
        <v>503</v>
      </c>
      <c r="F94" t="s">
        <v>234</v>
      </c>
      <c r="G94" t="s">
        <v>17</v>
      </c>
      <c r="H94" t="s">
        <v>18</v>
      </c>
      <c r="I94" t="s">
        <v>233</v>
      </c>
      <c r="J94" t="s">
        <v>47</v>
      </c>
      <c r="K94" s="1">
        <v>42494</v>
      </c>
      <c r="L94">
        <v>430</v>
      </c>
      <c r="M94">
        <v>33485962</v>
      </c>
      <c r="N94" t="s">
        <v>48</v>
      </c>
      <c r="O94" s="1">
        <v>42494</v>
      </c>
      <c r="P94">
        <v>10061</v>
      </c>
    </row>
    <row r="95" spans="1:16" hidden="1" x14ac:dyDescent="0.2">
      <c r="B95" s="4" t="str">
        <f>IF(Table1[[#This Row],[ann_name]]="","","x")</f>
        <v>x</v>
      </c>
      <c r="C95" t="s">
        <v>231</v>
      </c>
      <c r="D95" t="s">
        <v>232</v>
      </c>
      <c r="E95" t="s">
        <v>233</v>
      </c>
      <c r="F95" t="s">
        <v>234</v>
      </c>
      <c r="G95" t="s">
        <v>17</v>
      </c>
      <c r="H95" t="s">
        <v>18</v>
      </c>
      <c r="I95" t="s">
        <v>503</v>
      </c>
      <c r="J95" t="s">
        <v>47</v>
      </c>
      <c r="K95" s="1">
        <v>42494</v>
      </c>
      <c r="L95">
        <v>430</v>
      </c>
      <c r="M95">
        <v>33485962</v>
      </c>
      <c r="N95" t="s">
        <v>48</v>
      </c>
      <c r="O95" s="1">
        <v>42975</v>
      </c>
      <c r="P95">
        <v>10061</v>
      </c>
    </row>
    <row r="96" spans="1:16" x14ac:dyDescent="0.2">
      <c r="A96" s="4" t="s">
        <v>482</v>
      </c>
      <c r="B96" s="4" t="str">
        <f>IF(Table1[[#This Row],[ann_name]]="","","x")</f>
        <v>x</v>
      </c>
      <c r="C96" t="s">
        <v>235</v>
      </c>
      <c r="D96" t="s">
        <v>236</v>
      </c>
      <c r="E96" t="s">
        <v>504</v>
      </c>
      <c r="F96" t="s">
        <v>238</v>
      </c>
      <c r="G96" t="s">
        <v>17</v>
      </c>
      <c r="H96" t="s">
        <v>18</v>
      </c>
      <c r="I96" t="s">
        <v>237</v>
      </c>
      <c r="J96" t="s">
        <v>239</v>
      </c>
      <c r="K96" s="1">
        <v>39458</v>
      </c>
      <c r="L96">
        <v>665</v>
      </c>
      <c r="M96">
        <v>64877444</v>
      </c>
      <c r="N96" t="s">
        <v>240</v>
      </c>
      <c r="O96" s="1">
        <v>42577</v>
      </c>
      <c r="P96">
        <v>18264</v>
      </c>
    </row>
    <row r="97" spans="1:16" hidden="1" x14ac:dyDescent="0.2">
      <c r="B97" s="4" t="str">
        <f>IF(Table1[[#This Row],[ann_name]]="","","x")</f>
        <v>x</v>
      </c>
      <c r="C97" t="s">
        <v>235</v>
      </c>
      <c r="D97" t="s">
        <v>236</v>
      </c>
      <c r="E97" t="s">
        <v>237</v>
      </c>
      <c r="F97" t="s">
        <v>238</v>
      </c>
      <c r="G97" t="s">
        <v>17</v>
      </c>
      <c r="H97" t="s">
        <v>18</v>
      </c>
      <c r="I97" t="s">
        <v>504</v>
      </c>
      <c r="J97" t="s">
        <v>239</v>
      </c>
      <c r="K97" s="1">
        <v>39458</v>
      </c>
      <c r="L97">
        <v>665</v>
      </c>
      <c r="M97">
        <v>64877444</v>
      </c>
      <c r="N97" t="s">
        <v>240</v>
      </c>
      <c r="O97" s="1">
        <v>45243</v>
      </c>
      <c r="P97">
        <v>18261</v>
      </c>
    </row>
    <row r="98" spans="1:16" x14ac:dyDescent="0.2">
      <c r="A98" s="4" t="s">
        <v>482</v>
      </c>
      <c r="B98" s="4" t="str">
        <f>IF(Table1[[#This Row],[ann_name]]="","","x")</f>
        <v>x</v>
      </c>
      <c r="C98" t="s">
        <v>241</v>
      </c>
      <c r="D98" t="s">
        <v>242</v>
      </c>
      <c r="E98" t="s">
        <v>505</v>
      </c>
      <c r="F98" t="s">
        <v>244</v>
      </c>
      <c r="G98" t="s">
        <v>34</v>
      </c>
      <c r="H98" t="s">
        <v>18</v>
      </c>
      <c r="I98" t="s">
        <v>243</v>
      </c>
      <c r="J98" t="s">
        <v>245</v>
      </c>
      <c r="K98" s="1">
        <v>43955</v>
      </c>
      <c r="L98">
        <v>296</v>
      </c>
      <c r="M98">
        <v>43694574</v>
      </c>
      <c r="N98" t="s">
        <v>246</v>
      </c>
      <c r="O98" s="1">
        <v>43955</v>
      </c>
      <c r="P98">
        <v>13054</v>
      </c>
    </row>
    <row r="99" spans="1:16" hidden="1" x14ac:dyDescent="0.2">
      <c r="B99" s="4" t="str">
        <f>IF(Table1[[#This Row],[ann_name]]="","","x")</f>
        <v>x</v>
      </c>
      <c r="C99" t="s">
        <v>241</v>
      </c>
      <c r="D99" t="s">
        <v>242</v>
      </c>
      <c r="E99" t="s">
        <v>243</v>
      </c>
      <c r="F99" t="s">
        <v>244</v>
      </c>
      <c r="G99" t="s">
        <v>34</v>
      </c>
      <c r="H99" t="s">
        <v>18</v>
      </c>
      <c r="I99" t="s">
        <v>505</v>
      </c>
      <c r="J99" t="s">
        <v>245</v>
      </c>
      <c r="K99" s="1">
        <v>43955</v>
      </c>
      <c r="L99">
        <v>296</v>
      </c>
      <c r="M99">
        <v>43694574</v>
      </c>
      <c r="N99" t="s">
        <v>246</v>
      </c>
      <c r="O99" s="1">
        <v>44047</v>
      </c>
      <c r="P99">
        <v>13054</v>
      </c>
    </row>
    <row r="100" spans="1:16" x14ac:dyDescent="0.2">
      <c r="A100" s="4" t="s">
        <v>482</v>
      </c>
      <c r="B100" s="4" t="str">
        <f>IF(Table1[[#This Row],[ann_name]]="","","x")</f>
        <v>x</v>
      </c>
      <c r="C100" t="s">
        <v>253</v>
      </c>
      <c r="D100" t="s">
        <v>254</v>
      </c>
      <c r="E100" t="s">
        <v>507</v>
      </c>
      <c r="F100" t="s">
        <v>256</v>
      </c>
      <c r="G100" t="s">
        <v>34</v>
      </c>
      <c r="H100" t="s">
        <v>18</v>
      </c>
      <c r="I100" t="s">
        <v>255</v>
      </c>
      <c r="J100" t="s">
        <v>137</v>
      </c>
      <c r="K100" s="1">
        <v>44648</v>
      </c>
      <c r="L100">
        <v>21</v>
      </c>
      <c r="M100">
        <v>51946279</v>
      </c>
      <c r="N100" t="s">
        <v>138</v>
      </c>
      <c r="O100" s="1">
        <v>44978</v>
      </c>
      <c r="P100">
        <v>9619</v>
      </c>
    </row>
    <row r="101" spans="1:16" hidden="1" x14ac:dyDescent="0.2">
      <c r="B101" s="4" t="str">
        <f>IF(Table1[[#This Row],[ann_name]]="","","x")</f>
        <v>x</v>
      </c>
      <c r="C101" t="s">
        <v>253</v>
      </c>
      <c r="D101" t="s">
        <v>254</v>
      </c>
      <c r="E101" t="s">
        <v>255</v>
      </c>
      <c r="F101" t="s">
        <v>256</v>
      </c>
      <c r="G101" t="s">
        <v>34</v>
      </c>
      <c r="H101" t="s">
        <v>18</v>
      </c>
      <c r="I101" t="s">
        <v>507</v>
      </c>
      <c r="J101" t="s">
        <v>137</v>
      </c>
      <c r="K101" s="1">
        <v>44648</v>
      </c>
      <c r="L101">
        <v>21</v>
      </c>
      <c r="M101">
        <v>51946279</v>
      </c>
      <c r="N101" t="s">
        <v>138</v>
      </c>
      <c r="O101" s="1">
        <v>45469</v>
      </c>
      <c r="P101">
        <v>9615</v>
      </c>
    </row>
    <row r="102" spans="1:16" x14ac:dyDescent="0.2">
      <c r="A102" s="4" t="s">
        <v>482</v>
      </c>
      <c r="B102" s="4" t="str">
        <f>IF(Table1[[#This Row],[ann_name]]="","","x")</f>
        <v>x</v>
      </c>
      <c r="C102" t="s">
        <v>247</v>
      </c>
      <c r="D102" t="s">
        <v>248</v>
      </c>
      <c r="E102" t="s">
        <v>506</v>
      </c>
      <c r="F102" t="s">
        <v>250</v>
      </c>
      <c r="G102" t="s">
        <v>17</v>
      </c>
      <c r="H102" t="s">
        <v>18</v>
      </c>
      <c r="I102" t="s">
        <v>249</v>
      </c>
      <c r="J102" t="s">
        <v>251</v>
      </c>
      <c r="K102" s="1">
        <v>41351</v>
      </c>
      <c r="L102">
        <v>65</v>
      </c>
      <c r="M102">
        <v>7669689</v>
      </c>
      <c r="N102" t="s">
        <v>252</v>
      </c>
      <c r="O102" s="1">
        <v>41506</v>
      </c>
      <c r="P102">
        <v>3517</v>
      </c>
    </row>
    <row r="103" spans="1:16" hidden="1" x14ac:dyDescent="0.2">
      <c r="B103" s="4" t="str">
        <f>IF(Table1[[#This Row],[ann_name]]="","","x")</f>
        <v>x</v>
      </c>
      <c r="C103" t="s">
        <v>247</v>
      </c>
      <c r="D103" t="s">
        <v>248</v>
      </c>
      <c r="E103" t="s">
        <v>249</v>
      </c>
      <c r="F103" t="s">
        <v>250</v>
      </c>
      <c r="G103" t="s">
        <v>17</v>
      </c>
      <c r="H103" t="s">
        <v>18</v>
      </c>
      <c r="I103" t="s">
        <v>506</v>
      </c>
      <c r="J103" t="s">
        <v>251</v>
      </c>
      <c r="K103" s="1">
        <v>41351</v>
      </c>
      <c r="L103">
        <v>65</v>
      </c>
      <c r="M103">
        <v>7669689</v>
      </c>
      <c r="N103" t="s">
        <v>252</v>
      </c>
      <c r="O103" s="1">
        <v>45293</v>
      </c>
      <c r="P103">
        <v>3517</v>
      </c>
    </row>
    <row r="104" spans="1:16" x14ac:dyDescent="0.2">
      <c r="A104" s="4" t="s">
        <v>482</v>
      </c>
      <c r="B104" s="4" t="str">
        <f>IF(Table1[[#This Row],[ann_name]]="","","x")</f>
        <v>x</v>
      </c>
      <c r="C104" t="s">
        <v>257</v>
      </c>
      <c r="D104" t="s">
        <v>258</v>
      </c>
      <c r="E104" t="s">
        <v>508</v>
      </c>
      <c r="F104" t="s">
        <v>260</v>
      </c>
      <c r="G104" t="s">
        <v>17</v>
      </c>
      <c r="H104" t="s">
        <v>18</v>
      </c>
      <c r="I104" t="s">
        <v>259</v>
      </c>
      <c r="J104" t="s">
        <v>261</v>
      </c>
      <c r="K104" s="1">
        <v>44410</v>
      </c>
      <c r="L104">
        <v>35</v>
      </c>
      <c r="M104">
        <v>44714781</v>
      </c>
      <c r="N104" t="s">
        <v>262</v>
      </c>
      <c r="O104" s="1">
        <v>44407</v>
      </c>
      <c r="P104">
        <v>12261</v>
      </c>
    </row>
    <row r="105" spans="1:16" hidden="1" x14ac:dyDescent="0.2">
      <c r="B105" s="4" t="str">
        <f>IF(Table1[[#This Row],[ann_name]]="","","x")</f>
        <v>x</v>
      </c>
      <c r="C105" t="s">
        <v>257</v>
      </c>
      <c r="D105" t="s">
        <v>258</v>
      </c>
      <c r="E105" t="s">
        <v>259</v>
      </c>
      <c r="F105" t="s">
        <v>260</v>
      </c>
      <c r="G105" t="s">
        <v>17</v>
      </c>
      <c r="H105" t="s">
        <v>18</v>
      </c>
      <c r="I105" t="s">
        <v>508</v>
      </c>
      <c r="J105" t="s">
        <v>261</v>
      </c>
      <c r="K105" s="1">
        <v>44410</v>
      </c>
      <c r="L105">
        <v>35</v>
      </c>
      <c r="M105">
        <v>44714781</v>
      </c>
      <c r="N105" t="s">
        <v>262</v>
      </c>
      <c r="O105" s="1">
        <v>45469</v>
      </c>
      <c r="P105">
        <v>12261</v>
      </c>
    </row>
    <row r="106" spans="1:16" x14ac:dyDescent="0.2">
      <c r="A106" s="4" t="s">
        <v>482</v>
      </c>
      <c r="B106" s="4" t="str">
        <f>IF(Table1[[#This Row],[ann_name]]="","","x")</f>
        <v>x</v>
      </c>
      <c r="C106" t="s">
        <v>263</v>
      </c>
      <c r="D106" t="s">
        <v>264</v>
      </c>
      <c r="E106" t="s">
        <v>265</v>
      </c>
      <c r="F106" t="s">
        <v>266</v>
      </c>
      <c r="G106" t="s">
        <v>34</v>
      </c>
      <c r="H106" t="s">
        <v>18</v>
      </c>
      <c r="J106" t="s">
        <v>267</v>
      </c>
      <c r="K106" s="1">
        <v>43991</v>
      </c>
      <c r="L106">
        <v>18</v>
      </c>
      <c r="M106">
        <v>42848098</v>
      </c>
      <c r="N106" t="s">
        <v>268</v>
      </c>
      <c r="O106" s="1">
        <v>43991</v>
      </c>
      <c r="P106">
        <v>13646</v>
      </c>
    </row>
    <row r="107" spans="1:16" x14ac:dyDescent="0.2">
      <c r="A107" s="4" t="s">
        <v>482</v>
      </c>
      <c r="B107" s="4" t="str">
        <f>IF(Table1[[#This Row],[ann_name]]="","","x")</f>
        <v/>
      </c>
      <c r="C107" t="s">
        <v>269</v>
      </c>
      <c r="D107" t="s">
        <v>270</v>
      </c>
      <c r="E107" t="s">
        <v>271</v>
      </c>
      <c r="F107" t="s">
        <v>272</v>
      </c>
      <c r="G107" t="s">
        <v>34</v>
      </c>
      <c r="H107" t="s">
        <v>18</v>
      </c>
      <c r="J107" t="s">
        <v>273</v>
      </c>
      <c r="K107" s="1">
        <v>45387</v>
      </c>
      <c r="L107">
        <v>32</v>
      </c>
      <c r="M107">
        <v>40883749</v>
      </c>
    </row>
    <row r="108" spans="1:16" hidden="1" x14ac:dyDescent="0.2">
      <c r="B108" s="4" t="str">
        <f>IF(Table1[[#This Row],[ann_name]]="","","x")</f>
        <v/>
      </c>
      <c r="C108" t="s">
        <v>269</v>
      </c>
      <c r="D108" t="s">
        <v>270</v>
      </c>
      <c r="E108" t="s">
        <v>271</v>
      </c>
      <c r="F108" t="s">
        <v>272</v>
      </c>
      <c r="G108" t="s">
        <v>34</v>
      </c>
      <c r="H108" t="s">
        <v>18</v>
      </c>
      <c r="J108" t="s">
        <v>273</v>
      </c>
      <c r="K108" s="1">
        <v>45387</v>
      </c>
      <c r="L108">
        <v>32</v>
      </c>
      <c r="M108">
        <v>40883749</v>
      </c>
      <c r="O108" s="1"/>
    </row>
    <row r="109" spans="1:16" hidden="1" x14ac:dyDescent="0.2">
      <c r="B109" s="4" t="str">
        <f>IF(Table1[[#This Row],[ann_name]]="","","x")</f>
        <v/>
      </c>
      <c r="C109" t="s">
        <v>269</v>
      </c>
      <c r="D109" t="s">
        <v>270</v>
      </c>
      <c r="E109" t="s">
        <v>624</v>
      </c>
      <c r="F109" t="s">
        <v>625</v>
      </c>
      <c r="G109" t="s">
        <v>17</v>
      </c>
      <c r="H109" t="s">
        <v>539</v>
      </c>
      <c r="J109" t="s">
        <v>626</v>
      </c>
      <c r="K109" s="1">
        <v>42247</v>
      </c>
      <c r="L109">
        <v>821</v>
      </c>
      <c r="M109">
        <v>35338886</v>
      </c>
      <c r="O109" s="1"/>
    </row>
    <row r="110" spans="1:16" hidden="1" x14ac:dyDescent="0.2">
      <c r="B110" s="4" t="str">
        <f>IF(Table1[[#This Row],[ann_name]]="","","x")</f>
        <v/>
      </c>
      <c r="C110" t="s">
        <v>269</v>
      </c>
      <c r="D110" t="s">
        <v>270</v>
      </c>
      <c r="E110" t="s">
        <v>627</v>
      </c>
      <c r="F110" t="s">
        <v>628</v>
      </c>
      <c r="G110" t="s">
        <v>17</v>
      </c>
      <c r="H110" t="s">
        <v>539</v>
      </c>
      <c r="J110" t="s">
        <v>629</v>
      </c>
      <c r="K110" s="1">
        <v>42430</v>
      </c>
      <c r="L110">
        <v>401</v>
      </c>
      <c r="M110">
        <v>36616466</v>
      </c>
      <c r="O110" s="1"/>
    </row>
    <row r="111" spans="1:16" hidden="1" x14ac:dyDescent="0.2">
      <c r="B111" s="4" t="str">
        <f>IF(Table1[[#This Row],[ann_name]]="","","x")</f>
        <v/>
      </c>
      <c r="C111" t="s">
        <v>269</v>
      </c>
      <c r="D111" t="s">
        <v>270</v>
      </c>
      <c r="E111" t="s">
        <v>630</v>
      </c>
      <c r="F111" t="s">
        <v>631</v>
      </c>
      <c r="G111" t="s">
        <v>17</v>
      </c>
      <c r="H111" t="s">
        <v>539</v>
      </c>
      <c r="J111" t="s">
        <v>632</v>
      </c>
      <c r="K111" s="1">
        <v>44713</v>
      </c>
      <c r="L111">
        <v>1948</v>
      </c>
      <c r="M111">
        <v>33436478</v>
      </c>
      <c r="O111" s="1"/>
    </row>
    <row r="112" spans="1:16" hidden="1" x14ac:dyDescent="0.2">
      <c r="B112" s="4" t="str">
        <f>IF(Table1[[#This Row],[ann_name]]="","","x")</f>
        <v/>
      </c>
      <c r="C112" t="s">
        <v>269</v>
      </c>
      <c r="D112" t="s">
        <v>270</v>
      </c>
      <c r="E112" t="s">
        <v>633</v>
      </c>
      <c r="F112" t="s">
        <v>634</v>
      </c>
      <c r="G112" t="s">
        <v>17</v>
      </c>
      <c r="H112" t="s">
        <v>539</v>
      </c>
      <c r="J112" t="s">
        <v>632</v>
      </c>
      <c r="K112" s="1">
        <v>44713</v>
      </c>
      <c r="L112">
        <v>2261</v>
      </c>
      <c r="M112">
        <v>30493663</v>
      </c>
      <c r="O112" s="1"/>
    </row>
    <row r="113" spans="1:16" hidden="1" x14ac:dyDescent="0.2">
      <c r="B113" s="4" t="str">
        <f>IF(Table1[[#This Row],[ann_name]]="","","x")</f>
        <v/>
      </c>
      <c r="C113" t="s">
        <v>269</v>
      </c>
      <c r="D113" t="s">
        <v>270</v>
      </c>
      <c r="E113" t="s">
        <v>635</v>
      </c>
      <c r="F113" t="s">
        <v>636</v>
      </c>
      <c r="G113" t="s">
        <v>17</v>
      </c>
      <c r="H113" t="s">
        <v>539</v>
      </c>
      <c r="J113" t="s">
        <v>632</v>
      </c>
      <c r="K113" s="1">
        <v>44713</v>
      </c>
      <c r="L113">
        <v>2157</v>
      </c>
      <c r="M113">
        <v>34006406</v>
      </c>
      <c r="O113" s="1"/>
    </row>
    <row r="114" spans="1:16" hidden="1" x14ac:dyDescent="0.2">
      <c r="B114" s="4" t="str">
        <f>IF(Table1[[#This Row],[ann_name]]="","","x")</f>
        <v/>
      </c>
      <c r="C114" t="s">
        <v>269</v>
      </c>
      <c r="D114" t="s">
        <v>270</v>
      </c>
      <c r="E114" t="s">
        <v>637</v>
      </c>
      <c r="F114" t="s">
        <v>638</v>
      </c>
      <c r="G114" t="s">
        <v>17</v>
      </c>
      <c r="H114" t="s">
        <v>539</v>
      </c>
      <c r="J114" t="s">
        <v>632</v>
      </c>
      <c r="K114" s="1">
        <v>44713</v>
      </c>
      <c r="L114">
        <v>1934</v>
      </c>
      <c r="M114">
        <v>32907721</v>
      </c>
      <c r="O114" s="1"/>
    </row>
    <row r="115" spans="1:16" hidden="1" x14ac:dyDescent="0.2">
      <c r="B115" s="4" t="str">
        <f>IF(Table1[[#This Row],[ann_name]]="","","x")</f>
        <v/>
      </c>
      <c r="C115" t="s">
        <v>269</v>
      </c>
      <c r="D115" t="s">
        <v>270</v>
      </c>
      <c r="E115" t="s">
        <v>639</v>
      </c>
      <c r="F115" t="s">
        <v>640</v>
      </c>
      <c r="G115" t="s">
        <v>17</v>
      </c>
      <c r="H115" t="s">
        <v>539</v>
      </c>
      <c r="J115" t="s">
        <v>632</v>
      </c>
      <c r="K115" s="1">
        <v>44713</v>
      </c>
      <c r="L115">
        <v>2024</v>
      </c>
      <c r="M115">
        <v>31002264</v>
      </c>
      <c r="O115" s="1"/>
    </row>
    <row r="116" spans="1:16" hidden="1" x14ac:dyDescent="0.2">
      <c r="B116" s="4" t="str">
        <f>IF(Table1[[#This Row],[ann_name]]="","","x")</f>
        <v/>
      </c>
      <c r="C116" t="s">
        <v>269</v>
      </c>
      <c r="D116" t="s">
        <v>270</v>
      </c>
      <c r="E116" t="s">
        <v>641</v>
      </c>
      <c r="F116" t="s">
        <v>642</v>
      </c>
      <c r="G116" t="s">
        <v>17</v>
      </c>
      <c r="H116" t="s">
        <v>539</v>
      </c>
      <c r="J116" t="s">
        <v>632</v>
      </c>
      <c r="K116" s="1">
        <v>44713</v>
      </c>
      <c r="L116">
        <v>2071</v>
      </c>
      <c r="M116">
        <v>29721499</v>
      </c>
      <c r="O116" s="1"/>
    </row>
    <row r="117" spans="1:16" hidden="1" x14ac:dyDescent="0.2">
      <c r="B117" s="4" t="str">
        <f>IF(Table1[[#This Row],[ann_name]]="","","x")</f>
        <v/>
      </c>
      <c r="C117" t="s">
        <v>269</v>
      </c>
      <c r="D117" t="s">
        <v>270</v>
      </c>
      <c r="E117" t="s">
        <v>643</v>
      </c>
      <c r="F117" t="s">
        <v>644</v>
      </c>
      <c r="G117" t="s">
        <v>17</v>
      </c>
      <c r="H117" t="s">
        <v>539</v>
      </c>
      <c r="J117" t="s">
        <v>632</v>
      </c>
      <c r="K117" s="1">
        <v>44713</v>
      </c>
      <c r="L117">
        <v>3823</v>
      </c>
      <c r="M117">
        <v>30129278</v>
      </c>
      <c r="O117" s="1"/>
    </row>
    <row r="118" spans="1:16" hidden="1" x14ac:dyDescent="0.2">
      <c r="B118" s="4" t="str">
        <f>IF(Table1[[#This Row],[ann_name]]="","","x")</f>
        <v/>
      </c>
      <c r="C118" t="s">
        <v>269</v>
      </c>
      <c r="D118" t="s">
        <v>270</v>
      </c>
      <c r="E118" t="s">
        <v>645</v>
      </c>
      <c r="F118" t="s">
        <v>646</v>
      </c>
      <c r="G118" t="s">
        <v>17</v>
      </c>
      <c r="H118" t="s">
        <v>539</v>
      </c>
      <c r="J118" t="s">
        <v>632</v>
      </c>
      <c r="K118" s="1">
        <v>44713</v>
      </c>
      <c r="L118">
        <v>4026</v>
      </c>
      <c r="M118">
        <v>32140319</v>
      </c>
      <c r="O118" s="1"/>
    </row>
    <row r="119" spans="1:16" hidden="1" x14ac:dyDescent="0.2">
      <c r="B119" s="4" t="str">
        <f>IF(Table1[[#This Row],[ann_name]]="","","x")</f>
        <v/>
      </c>
      <c r="C119" t="s">
        <v>269</v>
      </c>
      <c r="D119" t="s">
        <v>270</v>
      </c>
      <c r="E119" t="s">
        <v>647</v>
      </c>
      <c r="F119" t="s">
        <v>648</v>
      </c>
      <c r="G119" t="s">
        <v>17</v>
      </c>
      <c r="H119" t="s">
        <v>539</v>
      </c>
      <c r="J119" t="s">
        <v>632</v>
      </c>
      <c r="K119" s="1">
        <v>44713</v>
      </c>
      <c r="L119">
        <v>3650</v>
      </c>
      <c r="M119">
        <v>30700534</v>
      </c>
      <c r="O119" s="1"/>
    </row>
    <row r="120" spans="1:16" hidden="1" x14ac:dyDescent="0.2">
      <c r="B120" s="4" t="str">
        <f>IF(Table1[[#This Row],[ann_name]]="","","x")</f>
        <v/>
      </c>
      <c r="C120" t="s">
        <v>269</v>
      </c>
      <c r="D120" t="s">
        <v>270</v>
      </c>
      <c r="E120" t="s">
        <v>649</v>
      </c>
      <c r="F120" t="s">
        <v>650</v>
      </c>
      <c r="G120" t="s">
        <v>17</v>
      </c>
      <c r="H120" t="s">
        <v>539</v>
      </c>
      <c r="J120" t="s">
        <v>632</v>
      </c>
      <c r="K120" s="1">
        <v>44713</v>
      </c>
      <c r="L120">
        <v>1681</v>
      </c>
      <c r="M120">
        <v>33445928</v>
      </c>
      <c r="O120" s="1"/>
    </row>
    <row r="121" spans="1:16" hidden="1" x14ac:dyDescent="0.2">
      <c r="B121" s="4" t="str">
        <f>IF(Table1[[#This Row],[ann_name]]="","","x")</f>
        <v/>
      </c>
      <c r="C121" t="s">
        <v>269</v>
      </c>
      <c r="D121" t="s">
        <v>270</v>
      </c>
      <c r="E121" t="s">
        <v>651</v>
      </c>
      <c r="F121" t="s">
        <v>652</v>
      </c>
      <c r="G121" t="s">
        <v>17</v>
      </c>
      <c r="H121" t="s">
        <v>539</v>
      </c>
      <c r="J121" t="s">
        <v>632</v>
      </c>
      <c r="K121" s="1">
        <v>44834</v>
      </c>
      <c r="L121">
        <v>2123</v>
      </c>
      <c r="M121">
        <v>34078298</v>
      </c>
      <c r="O121" s="1"/>
    </row>
    <row r="122" spans="1:16" hidden="1" x14ac:dyDescent="0.2">
      <c r="B122" s="4" t="str">
        <f>IF(Table1[[#This Row],[ann_name]]="","","x")</f>
        <v/>
      </c>
      <c r="C122" t="s">
        <v>269</v>
      </c>
      <c r="D122" t="s">
        <v>270</v>
      </c>
      <c r="E122" t="s">
        <v>653</v>
      </c>
      <c r="F122" t="s">
        <v>654</v>
      </c>
      <c r="G122" t="s">
        <v>17</v>
      </c>
      <c r="H122" t="s">
        <v>539</v>
      </c>
      <c r="J122" t="s">
        <v>632</v>
      </c>
      <c r="K122" s="1">
        <v>44834</v>
      </c>
      <c r="L122">
        <v>1903</v>
      </c>
      <c r="M122">
        <v>33779198</v>
      </c>
      <c r="O122" s="1"/>
    </row>
    <row r="123" spans="1:16" hidden="1" x14ac:dyDescent="0.2">
      <c r="B123" s="4" t="str">
        <f>IF(Table1[[#This Row],[ann_name]]="","","x")</f>
        <v/>
      </c>
      <c r="C123" t="s">
        <v>269</v>
      </c>
      <c r="D123" t="s">
        <v>270</v>
      </c>
      <c r="E123" t="s">
        <v>655</v>
      </c>
      <c r="F123" t="s">
        <v>656</v>
      </c>
      <c r="G123" t="s">
        <v>17</v>
      </c>
      <c r="H123" t="s">
        <v>539</v>
      </c>
      <c r="J123" t="s">
        <v>657</v>
      </c>
      <c r="K123" s="1">
        <v>45737</v>
      </c>
      <c r="L123">
        <v>2359</v>
      </c>
      <c r="M123">
        <v>32960975</v>
      </c>
      <c r="O123" s="1"/>
    </row>
    <row r="124" spans="1:16" hidden="1" x14ac:dyDescent="0.2">
      <c r="B124" s="4" t="str">
        <f>IF(Table1[[#This Row],[ann_name]]="","","x")</f>
        <v>x</v>
      </c>
      <c r="C124" t="s">
        <v>269</v>
      </c>
      <c r="D124" t="s">
        <v>270</v>
      </c>
      <c r="E124" t="s">
        <v>658</v>
      </c>
      <c r="F124" t="s">
        <v>659</v>
      </c>
      <c r="G124" t="s">
        <v>17</v>
      </c>
      <c r="H124" t="s">
        <v>539</v>
      </c>
      <c r="J124" t="s">
        <v>154</v>
      </c>
      <c r="K124" s="1">
        <v>41432</v>
      </c>
      <c r="L124">
        <v>470</v>
      </c>
      <c r="M124">
        <v>36348485</v>
      </c>
      <c r="N124" t="s">
        <v>155</v>
      </c>
      <c r="O124" s="1">
        <v>42085</v>
      </c>
      <c r="P124">
        <v>12410</v>
      </c>
    </row>
    <row r="125" spans="1:16" hidden="1" x14ac:dyDescent="0.2">
      <c r="B125" s="4" t="str">
        <f>IF(Table1[[#This Row],[ann_name]]="","","x")</f>
        <v/>
      </c>
      <c r="C125" t="s">
        <v>269</v>
      </c>
      <c r="D125" t="s">
        <v>270</v>
      </c>
      <c r="E125" t="s">
        <v>660</v>
      </c>
      <c r="F125" t="s">
        <v>661</v>
      </c>
      <c r="G125" t="s">
        <v>34</v>
      </c>
      <c r="H125" t="s">
        <v>539</v>
      </c>
      <c r="J125" t="s">
        <v>662</v>
      </c>
      <c r="K125" s="1">
        <v>41792</v>
      </c>
      <c r="L125">
        <v>2210</v>
      </c>
      <c r="M125">
        <v>36700617</v>
      </c>
      <c r="O125" s="1"/>
    </row>
    <row r="126" spans="1:16" x14ac:dyDescent="0.2">
      <c r="A126" s="4" t="s">
        <v>482</v>
      </c>
      <c r="B126" s="4" t="str">
        <f>IF(Table1[[#This Row],[ann_name]]="","","x")</f>
        <v>x</v>
      </c>
      <c r="C126" t="s">
        <v>274</v>
      </c>
      <c r="D126" t="s">
        <v>275</v>
      </c>
      <c r="E126" t="s">
        <v>276</v>
      </c>
      <c r="F126" t="s">
        <v>277</v>
      </c>
      <c r="G126" t="s">
        <v>17</v>
      </c>
      <c r="H126" t="s">
        <v>18</v>
      </c>
      <c r="J126" t="s">
        <v>29</v>
      </c>
      <c r="K126" s="1">
        <v>45460</v>
      </c>
      <c r="L126">
        <v>12</v>
      </c>
      <c r="M126">
        <v>36611222</v>
      </c>
      <c r="N126" t="s">
        <v>70</v>
      </c>
      <c r="O126" s="1">
        <v>45464</v>
      </c>
      <c r="P126">
        <v>11759</v>
      </c>
    </row>
    <row r="127" spans="1:16" x14ac:dyDescent="0.2">
      <c r="A127" s="4" t="s">
        <v>482</v>
      </c>
      <c r="B127" s="4" t="str">
        <f>IF(Table1[[#This Row],[ann_name]]="","","x")</f>
        <v>x</v>
      </c>
      <c r="C127" t="s">
        <v>278</v>
      </c>
      <c r="D127" t="s">
        <v>279</v>
      </c>
      <c r="E127" t="s">
        <v>509</v>
      </c>
      <c r="F127" t="s">
        <v>281</v>
      </c>
      <c r="G127" t="s">
        <v>23</v>
      </c>
      <c r="H127" t="s">
        <v>18</v>
      </c>
      <c r="I127" t="s">
        <v>280</v>
      </c>
      <c r="J127" t="s">
        <v>282</v>
      </c>
      <c r="K127" s="1">
        <v>40756</v>
      </c>
      <c r="L127">
        <v>10</v>
      </c>
      <c r="M127">
        <v>11219539</v>
      </c>
      <c r="N127" t="s">
        <v>283</v>
      </c>
      <c r="O127" s="1">
        <v>42064</v>
      </c>
      <c r="P127">
        <v>5870</v>
      </c>
    </row>
    <row r="128" spans="1:16" hidden="1" x14ac:dyDescent="0.2">
      <c r="B128" s="4" t="str">
        <f>IF(Table1[[#This Row],[ann_name]]="","","x")</f>
        <v>x</v>
      </c>
      <c r="C128" t="s">
        <v>278</v>
      </c>
      <c r="D128" t="s">
        <v>279</v>
      </c>
      <c r="E128" t="s">
        <v>280</v>
      </c>
      <c r="F128" t="s">
        <v>281</v>
      </c>
      <c r="G128" t="s">
        <v>23</v>
      </c>
      <c r="H128" t="s">
        <v>18</v>
      </c>
      <c r="I128" t="s">
        <v>509</v>
      </c>
      <c r="J128" t="s">
        <v>282</v>
      </c>
      <c r="K128" s="1">
        <v>40756</v>
      </c>
      <c r="L128">
        <v>10</v>
      </c>
      <c r="M128">
        <v>11219539</v>
      </c>
      <c r="N128" t="s">
        <v>283</v>
      </c>
      <c r="O128" s="1">
        <v>45630</v>
      </c>
      <c r="P128">
        <v>5867</v>
      </c>
    </row>
    <row r="129" spans="1:16" hidden="1" x14ac:dyDescent="0.2">
      <c r="B129" s="4" t="str">
        <f>IF(Table1[[#This Row],[ann_name]]="","","x")</f>
        <v>x</v>
      </c>
      <c r="C129" t="s">
        <v>284</v>
      </c>
      <c r="D129" t="s">
        <v>285</v>
      </c>
      <c r="E129" t="s">
        <v>510</v>
      </c>
      <c r="F129" t="s">
        <v>287</v>
      </c>
      <c r="G129" t="s">
        <v>23</v>
      </c>
      <c r="H129" t="s">
        <v>18</v>
      </c>
      <c r="I129" t="s">
        <v>286</v>
      </c>
      <c r="J129" t="s">
        <v>154</v>
      </c>
      <c r="K129" s="1">
        <v>41572</v>
      </c>
      <c r="L129">
        <v>7</v>
      </c>
      <c r="M129">
        <v>41037538</v>
      </c>
      <c r="N129" t="s">
        <v>155</v>
      </c>
      <c r="O129" s="1">
        <v>42086</v>
      </c>
      <c r="P129">
        <v>10591</v>
      </c>
    </row>
    <row r="130" spans="1:16" x14ac:dyDescent="0.2">
      <c r="A130" s="4" t="s">
        <v>482</v>
      </c>
      <c r="B130" s="4" t="str">
        <f>IF(Table1[[#This Row],[ann_name]]="","","x")</f>
        <v>x</v>
      </c>
      <c r="C130" t="s">
        <v>284</v>
      </c>
      <c r="D130" t="s">
        <v>285</v>
      </c>
      <c r="E130" t="s">
        <v>286</v>
      </c>
      <c r="F130" t="s">
        <v>287</v>
      </c>
      <c r="G130" t="s">
        <v>23</v>
      </c>
      <c r="H130" t="s">
        <v>18</v>
      </c>
      <c r="I130" t="s">
        <v>510</v>
      </c>
      <c r="J130" t="s">
        <v>154</v>
      </c>
      <c r="K130" s="1">
        <v>41572</v>
      </c>
      <c r="L130">
        <v>7</v>
      </c>
      <c r="M130">
        <v>41037538</v>
      </c>
      <c r="N130" t="s">
        <v>155</v>
      </c>
      <c r="O130" s="1">
        <v>45019</v>
      </c>
      <c r="P130">
        <v>10590</v>
      </c>
    </row>
    <row r="131" spans="1:16" x14ac:dyDescent="0.2">
      <c r="A131" s="4" t="s">
        <v>482</v>
      </c>
      <c r="B131" s="4" t="str">
        <f>IF(Table1[[#This Row],[ann_name]]="","","x")</f>
        <v>x</v>
      </c>
      <c r="C131" t="s">
        <v>288</v>
      </c>
      <c r="D131" t="s">
        <v>289</v>
      </c>
      <c r="E131" t="s">
        <v>290</v>
      </c>
      <c r="F131" t="s">
        <v>291</v>
      </c>
      <c r="G131" t="s">
        <v>17</v>
      </c>
      <c r="H131" t="s">
        <v>18</v>
      </c>
      <c r="J131" t="s">
        <v>292</v>
      </c>
      <c r="K131" s="1">
        <v>41394</v>
      </c>
      <c r="L131">
        <v>1607</v>
      </c>
      <c r="M131">
        <v>15689776</v>
      </c>
      <c r="N131" t="s">
        <v>293</v>
      </c>
      <c r="O131" s="1">
        <v>42542</v>
      </c>
      <c r="P131">
        <v>4468</v>
      </c>
    </row>
    <row r="132" spans="1:16" x14ac:dyDescent="0.2">
      <c r="A132" s="4" t="s">
        <v>482</v>
      </c>
      <c r="B132" s="4" t="str">
        <f>IF(Table1[[#This Row],[ann_name]]="","","x")</f>
        <v>x</v>
      </c>
      <c r="C132" t="s">
        <v>294</v>
      </c>
      <c r="D132" t="s">
        <v>295</v>
      </c>
      <c r="E132" t="s">
        <v>511</v>
      </c>
      <c r="F132" t="s">
        <v>297</v>
      </c>
      <c r="G132" t="s">
        <v>34</v>
      </c>
      <c r="H132" t="s">
        <v>18</v>
      </c>
      <c r="I132" t="s">
        <v>296</v>
      </c>
      <c r="J132" t="s">
        <v>298</v>
      </c>
      <c r="K132" s="1">
        <v>42129</v>
      </c>
      <c r="L132">
        <v>536</v>
      </c>
      <c r="M132">
        <v>5690748</v>
      </c>
      <c r="N132" t="s">
        <v>299</v>
      </c>
      <c r="O132" s="1">
        <v>42129</v>
      </c>
      <c r="P132">
        <v>3265</v>
      </c>
    </row>
    <row r="133" spans="1:16" hidden="1" x14ac:dyDescent="0.2">
      <c r="B133" s="4" t="str">
        <f>IF(Table1[[#This Row],[ann_name]]="","","x")</f>
        <v>x</v>
      </c>
      <c r="C133" t="s">
        <v>294</v>
      </c>
      <c r="D133" t="s">
        <v>295</v>
      </c>
      <c r="E133" t="s">
        <v>296</v>
      </c>
      <c r="F133" t="s">
        <v>297</v>
      </c>
      <c r="G133" t="s">
        <v>34</v>
      </c>
      <c r="H133" t="s">
        <v>18</v>
      </c>
      <c r="I133" t="s">
        <v>511</v>
      </c>
      <c r="J133" t="s">
        <v>298</v>
      </c>
      <c r="K133" s="1">
        <v>42129</v>
      </c>
      <c r="L133">
        <v>536</v>
      </c>
      <c r="M133">
        <v>5690748</v>
      </c>
      <c r="N133" t="s">
        <v>299</v>
      </c>
      <c r="O133" s="1">
        <v>43190</v>
      </c>
      <c r="P133">
        <v>3265</v>
      </c>
    </row>
    <row r="134" spans="1:16" x14ac:dyDescent="0.2">
      <c r="A134" s="4" t="s">
        <v>482</v>
      </c>
      <c r="B134" s="4" t="str">
        <f>IF(Table1[[#This Row],[ann_name]]="","","x")</f>
        <v>x</v>
      </c>
      <c r="C134" t="s">
        <v>300</v>
      </c>
      <c r="D134" t="s">
        <v>301</v>
      </c>
      <c r="E134" t="s">
        <v>302</v>
      </c>
      <c r="F134" t="s">
        <v>303</v>
      </c>
      <c r="G134" t="s">
        <v>34</v>
      </c>
      <c r="H134" t="s">
        <v>18</v>
      </c>
      <c r="J134" t="s">
        <v>304</v>
      </c>
      <c r="K134" s="1">
        <v>43951</v>
      </c>
      <c r="L134">
        <v>23</v>
      </c>
      <c r="M134">
        <v>110880992</v>
      </c>
      <c r="N134" t="s">
        <v>305</v>
      </c>
      <c r="O134" s="1">
        <v>43951</v>
      </c>
      <c r="P134">
        <v>8916</v>
      </c>
    </row>
    <row r="135" spans="1:16" x14ac:dyDescent="0.2">
      <c r="A135" s="4" t="s">
        <v>482</v>
      </c>
      <c r="B135" s="4" t="str">
        <f>IF(Table1[[#This Row],[ann_name]]="","","x")</f>
        <v>x</v>
      </c>
      <c r="C135" t="s">
        <v>306</v>
      </c>
      <c r="D135" t="s">
        <v>307</v>
      </c>
      <c r="E135" t="s">
        <v>512</v>
      </c>
      <c r="F135" t="s">
        <v>309</v>
      </c>
      <c r="G135" t="s">
        <v>17</v>
      </c>
      <c r="H135" t="s">
        <v>18</v>
      </c>
      <c r="I135" t="s">
        <v>308</v>
      </c>
      <c r="J135" t="s">
        <v>154</v>
      </c>
      <c r="K135" s="1">
        <v>41936</v>
      </c>
      <c r="L135">
        <v>57</v>
      </c>
      <c r="M135">
        <v>29952540</v>
      </c>
      <c r="N135" t="s">
        <v>155</v>
      </c>
      <c r="O135" s="1">
        <v>41936</v>
      </c>
      <c r="P135">
        <v>8522</v>
      </c>
    </row>
    <row r="136" spans="1:16" hidden="1" x14ac:dyDescent="0.2">
      <c r="B136" s="4" t="str">
        <f>IF(Table1[[#This Row],[ann_name]]="","","x")</f>
        <v>x</v>
      </c>
      <c r="C136" t="s">
        <v>306</v>
      </c>
      <c r="D136" t="s">
        <v>307</v>
      </c>
      <c r="E136" t="s">
        <v>308</v>
      </c>
      <c r="F136" t="s">
        <v>309</v>
      </c>
      <c r="G136" t="s">
        <v>17</v>
      </c>
      <c r="H136" t="s">
        <v>18</v>
      </c>
      <c r="I136" t="s">
        <v>512</v>
      </c>
      <c r="J136" t="s">
        <v>154</v>
      </c>
      <c r="K136" s="1">
        <v>41936</v>
      </c>
      <c r="L136">
        <v>57</v>
      </c>
      <c r="M136">
        <v>29952540</v>
      </c>
      <c r="N136" t="s">
        <v>155</v>
      </c>
      <c r="O136" s="1">
        <v>44669</v>
      </c>
      <c r="P136">
        <v>8522</v>
      </c>
    </row>
    <row r="137" spans="1:16" x14ac:dyDescent="0.2">
      <c r="A137" s="4" t="s">
        <v>482</v>
      </c>
      <c r="B137" s="4" t="str">
        <f>IF(Table1[[#This Row],[ann_name]]="","","x")</f>
        <v>x</v>
      </c>
      <c r="C137" t="s">
        <v>310</v>
      </c>
      <c r="D137" t="s">
        <v>311</v>
      </c>
      <c r="E137" t="s">
        <v>312</v>
      </c>
      <c r="F137" t="s">
        <v>313</v>
      </c>
      <c r="G137" t="s">
        <v>34</v>
      </c>
      <c r="H137" t="s">
        <v>18</v>
      </c>
      <c r="J137" t="s">
        <v>194</v>
      </c>
      <c r="K137" s="1">
        <v>44511</v>
      </c>
      <c r="L137">
        <v>8053</v>
      </c>
      <c r="M137">
        <v>50060206</v>
      </c>
      <c r="N137" t="s">
        <v>195</v>
      </c>
      <c r="O137" s="1">
        <v>44511</v>
      </c>
      <c r="P137">
        <v>11385</v>
      </c>
    </row>
    <row r="138" spans="1:16" x14ac:dyDescent="0.2">
      <c r="A138" s="4" t="s">
        <v>482</v>
      </c>
      <c r="B138" s="4" t="str">
        <f>IF(Table1[[#This Row],[ann_name]]="","","x")</f>
        <v/>
      </c>
      <c r="C138" t="s">
        <v>314</v>
      </c>
      <c r="D138" t="s">
        <v>315</v>
      </c>
      <c r="E138" t="s">
        <v>316</v>
      </c>
      <c r="F138" t="s">
        <v>317</v>
      </c>
      <c r="G138" t="s">
        <v>17</v>
      </c>
      <c r="H138" t="s">
        <v>18</v>
      </c>
      <c r="J138" t="s">
        <v>318</v>
      </c>
      <c r="K138" s="1">
        <v>42856</v>
      </c>
      <c r="L138">
        <v>358</v>
      </c>
      <c r="M138">
        <v>31026583</v>
      </c>
    </row>
    <row r="139" spans="1:16" hidden="1" x14ac:dyDescent="0.2">
      <c r="B139" s="4" t="str">
        <f>IF(Table1[[#This Row],[ann_name]]="","","x")</f>
        <v/>
      </c>
      <c r="C139" t="s">
        <v>314</v>
      </c>
      <c r="D139" t="s">
        <v>315</v>
      </c>
      <c r="E139" t="s">
        <v>316</v>
      </c>
      <c r="F139" t="s">
        <v>317</v>
      </c>
      <c r="G139" t="s">
        <v>17</v>
      </c>
      <c r="H139" t="s">
        <v>18</v>
      </c>
      <c r="J139" t="s">
        <v>318</v>
      </c>
      <c r="K139" s="1">
        <v>42856</v>
      </c>
      <c r="L139">
        <v>358</v>
      </c>
      <c r="M139">
        <v>31026583</v>
      </c>
      <c r="O139" s="1"/>
    </row>
    <row r="140" spans="1:16" hidden="1" x14ac:dyDescent="0.2">
      <c r="B140" s="4" t="str">
        <f>IF(Table1[[#This Row],[ann_name]]="","","x")</f>
        <v>x</v>
      </c>
      <c r="C140" t="s">
        <v>314</v>
      </c>
      <c r="D140" t="s">
        <v>315</v>
      </c>
      <c r="E140" t="s">
        <v>663</v>
      </c>
      <c r="F140" t="s">
        <v>664</v>
      </c>
      <c r="G140" t="s">
        <v>34</v>
      </c>
      <c r="H140" t="s">
        <v>539</v>
      </c>
      <c r="J140" t="s">
        <v>665</v>
      </c>
      <c r="K140" s="1">
        <v>41940</v>
      </c>
      <c r="L140">
        <v>1632</v>
      </c>
      <c r="M140">
        <v>30164421</v>
      </c>
      <c r="N140" t="s">
        <v>666</v>
      </c>
      <c r="O140" s="1">
        <v>41940</v>
      </c>
      <c r="P140">
        <v>9996</v>
      </c>
    </row>
    <row r="141" spans="1:16" hidden="1" x14ac:dyDescent="0.2">
      <c r="B141" s="4" t="str">
        <f>IF(Table1[[#This Row],[ann_name]]="","","x")</f>
        <v/>
      </c>
      <c r="C141" t="s">
        <v>314</v>
      </c>
      <c r="D141" t="s">
        <v>315</v>
      </c>
      <c r="E141" t="s">
        <v>667</v>
      </c>
      <c r="F141" t="s">
        <v>668</v>
      </c>
      <c r="G141" t="s">
        <v>17</v>
      </c>
      <c r="H141" t="s">
        <v>539</v>
      </c>
      <c r="J141" t="s">
        <v>669</v>
      </c>
      <c r="K141" s="1">
        <v>42139</v>
      </c>
      <c r="L141">
        <v>1186</v>
      </c>
      <c r="M141">
        <v>28597635</v>
      </c>
      <c r="O141" s="1"/>
    </row>
    <row r="142" spans="1:16" x14ac:dyDescent="0.2">
      <c r="A142" s="4" t="s">
        <v>482</v>
      </c>
      <c r="B142" s="4" t="str">
        <f>IF(Table1[[#This Row],[ann_name]]="","","x")</f>
        <v/>
      </c>
      <c r="C142" t="s">
        <v>319</v>
      </c>
      <c r="D142" t="s">
        <v>320</v>
      </c>
      <c r="E142" t="s">
        <v>321</v>
      </c>
      <c r="F142" t="s">
        <v>322</v>
      </c>
      <c r="G142" t="s">
        <v>34</v>
      </c>
      <c r="H142" t="s">
        <v>18</v>
      </c>
      <c r="J142" t="s">
        <v>323</v>
      </c>
      <c r="K142" s="1">
        <v>45303</v>
      </c>
      <c r="L142">
        <v>49</v>
      </c>
      <c r="M142">
        <v>15023121</v>
      </c>
    </row>
    <row r="143" spans="1:16" x14ac:dyDescent="0.2">
      <c r="A143" s="4" t="s">
        <v>482</v>
      </c>
      <c r="B143" s="4" t="str">
        <f>IF(Table1[[#This Row],[ann_name]]="","","x")</f>
        <v>x</v>
      </c>
      <c r="C143" t="s">
        <v>324</v>
      </c>
      <c r="D143" t="s">
        <v>325</v>
      </c>
      <c r="E143" t="s">
        <v>326</v>
      </c>
      <c r="F143" t="s">
        <v>327</v>
      </c>
      <c r="G143" t="s">
        <v>23</v>
      </c>
      <c r="H143" t="s">
        <v>18</v>
      </c>
      <c r="J143" t="s">
        <v>328</v>
      </c>
      <c r="K143" s="1">
        <v>44433</v>
      </c>
      <c r="L143">
        <v>11</v>
      </c>
      <c r="M143">
        <v>32382086</v>
      </c>
      <c r="N143" t="s">
        <v>329</v>
      </c>
      <c r="O143" s="1">
        <v>44433</v>
      </c>
      <c r="P143">
        <v>10437</v>
      </c>
    </row>
    <row r="144" spans="1:16" x14ac:dyDescent="0.2">
      <c r="A144" s="4" t="s">
        <v>482</v>
      </c>
      <c r="B144" s="4" t="str">
        <f>IF(Table1[[#This Row],[ann_name]]="","","x")</f>
        <v/>
      </c>
      <c r="C144" t="s">
        <v>330</v>
      </c>
      <c r="D144" t="s">
        <v>331</v>
      </c>
      <c r="E144" t="s">
        <v>332</v>
      </c>
      <c r="F144" t="s">
        <v>333</v>
      </c>
      <c r="G144" t="s">
        <v>34</v>
      </c>
      <c r="H144" t="s">
        <v>18</v>
      </c>
      <c r="J144" t="s">
        <v>334</v>
      </c>
      <c r="K144" s="1">
        <v>45014</v>
      </c>
      <c r="L144">
        <v>47</v>
      </c>
      <c r="M144">
        <v>53459950</v>
      </c>
    </row>
    <row r="145" spans="1:16" hidden="1" x14ac:dyDescent="0.2">
      <c r="B145" s="4" t="str">
        <f>IF(Table1[[#This Row],[ann_name]]="","","x")</f>
        <v/>
      </c>
      <c r="C145" t="s">
        <v>330</v>
      </c>
      <c r="D145" t="s">
        <v>331</v>
      </c>
      <c r="E145" t="s">
        <v>670</v>
      </c>
      <c r="F145" t="s">
        <v>671</v>
      </c>
      <c r="G145" t="s">
        <v>17</v>
      </c>
      <c r="H145" t="s">
        <v>539</v>
      </c>
      <c r="J145" t="s">
        <v>672</v>
      </c>
      <c r="K145" s="1">
        <v>42612</v>
      </c>
      <c r="L145">
        <v>166</v>
      </c>
      <c r="M145">
        <v>43779707</v>
      </c>
      <c r="O145" s="1"/>
    </row>
    <row r="146" spans="1:16" hidden="1" x14ac:dyDescent="0.2">
      <c r="B146" s="4" t="str">
        <f>IF(Table1[[#This Row],[ann_name]]="","","x")</f>
        <v/>
      </c>
      <c r="C146" t="s">
        <v>330</v>
      </c>
      <c r="D146" t="s">
        <v>331</v>
      </c>
      <c r="E146" t="s">
        <v>673</v>
      </c>
      <c r="F146" t="s">
        <v>674</v>
      </c>
      <c r="G146" t="s">
        <v>34</v>
      </c>
      <c r="H146" t="s">
        <v>539</v>
      </c>
      <c r="J146" t="s">
        <v>675</v>
      </c>
      <c r="K146" s="1">
        <v>43269</v>
      </c>
      <c r="L146">
        <v>153</v>
      </c>
      <c r="M146">
        <v>49917831</v>
      </c>
      <c r="O146" s="1"/>
    </row>
    <row r="147" spans="1:16" hidden="1" x14ac:dyDescent="0.2">
      <c r="B147" s="4" t="str">
        <f>IF(Table1[[#This Row],[ann_name]]="","","x")</f>
        <v/>
      </c>
      <c r="C147" t="s">
        <v>330</v>
      </c>
      <c r="D147" t="s">
        <v>331</v>
      </c>
      <c r="E147" t="s">
        <v>676</v>
      </c>
      <c r="F147" t="s">
        <v>677</v>
      </c>
      <c r="G147" t="s">
        <v>17</v>
      </c>
      <c r="H147" t="s">
        <v>539</v>
      </c>
      <c r="J147" t="s">
        <v>678</v>
      </c>
      <c r="K147" s="1">
        <v>43292</v>
      </c>
      <c r="L147">
        <v>104407</v>
      </c>
      <c r="M147">
        <v>174580441</v>
      </c>
      <c r="O147" s="1"/>
    </row>
    <row r="148" spans="1:16" hidden="1" x14ac:dyDescent="0.2">
      <c r="B148" s="4" t="str">
        <f>IF(Table1[[#This Row],[ann_name]]="","","x")</f>
        <v>x</v>
      </c>
      <c r="C148" t="s">
        <v>330</v>
      </c>
      <c r="D148" t="s">
        <v>331</v>
      </c>
      <c r="E148" t="s">
        <v>679</v>
      </c>
      <c r="F148" t="s">
        <v>680</v>
      </c>
      <c r="G148" t="s">
        <v>17</v>
      </c>
      <c r="H148" t="s">
        <v>539</v>
      </c>
      <c r="J148" t="s">
        <v>29</v>
      </c>
      <c r="K148" s="1">
        <v>44150</v>
      </c>
      <c r="L148">
        <v>609</v>
      </c>
      <c r="M148">
        <v>44606964</v>
      </c>
      <c r="N148" t="s">
        <v>70</v>
      </c>
      <c r="O148" s="1">
        <v>44159</v>
      </c>
      <c r="P148">
        <v>16135</v>
      </c>
    </row>
    <row r="149" spans="1:16" hidden="1" x14ac:dyDescent="0.2">
      <c r="B149" s="4" t="str">
        <f>IF(Table1[[#This Row],[ann_name]]="","","x")</f>
        <v/>
      </c>
      <c r="C149" t="s">
        <v>330</v>
      </c>
      <c r="D149" t="s">
        <v>331</v>
      </c>
      <c r="E149" t="s">
        <v>681</v>
      </c>
      <c r="F149" t="s">
        <v>682</v>
      </c>
      <c r="G149" t="s">
        <v>34</v>
      </c>
      <c r="H149" t="s">
        <v>539</v>
      </c>
      <c r="J149" t="s">
        <v>334</v>
      </c>
      <c r="K149" s="1">
        <v>45042</v>
      </c>
      <c r="L149">
        <v>42</v>
      </c>
      <c r="M149">
        <v>51138829</v>
      </c>
      <c r="O149" s="1"/>
    </row>
    <row r="150" spans="1:16" hidden="1" x14ac:dyDescent="0.2">
      <c r="B150" s="4" t="str">
        <f>IF(Table1[[#This Row],[ann_name]]="","","x")</f>
        <v/>
      </c>
      <c r="C150" t="s">
        <v>330</v>
      </c>
      <c r="D150" t="s">
        <v>331</v>
      </c>
      <c r="E150" t="s">
        <v>332</v>
      </c>
      <c r="F150" t="s">
        <v>333</v>
      </c>
      <c r="G150" t="s">
        <v>34</v>
      </c>
      <c r="H150" t="s">
        <v>18</v>
      </c>
      <c r="J150" t="s">
        <v>334</v>
      </c>
      <c r="K150" s="1">
        <v>45014</v>
      </c>
      <c r="L150">
        <v>47</v>
      </c>
      <c r="M150">
        <v>53459950</v>
      </c>
      <c r="O150" s="1"/>
    </row>
    <row r="151" spans="1:16" hidden="1" x14ac:dyDescent="0.2">
      <c r="B151" s="4" t="str">
        <f>IF(Table1[[#This Row],[ann_name]]="","","x")</f>
        <v/>
      </c>
      <c r="C151" t="s">
        <v>330</v>
      </c>
      <c r="D151" t="s">
        <v>331</v>
      </c>
      <c r="E151" t="s">
        <v>683</v>
      </c>
      <c r="F151" t="s">
        <v>684</v>
      </c>
      <c r="G151" t="s">
        <v>34</v>
      </c>
      <c r="H151" t="s">
        <v>539</v>
      </c>
      <c r="J151" t="s">
        <v>334</v>
      </c>
      <c r="K151" s="1">
        <v>45014</v>
      </c>
      <c r="L151">
        <v>51</v>
      </c>
      <c r="M151">
        <v>47996066</v>
      </c>
      <c r="O151" s="1"/>
    </row>
    <row r="152" spans="1:16" x14ac:dyDescent="0.2">
      <c r="A152" s="4" t="s">
        <v>482</v>
      </c>
      <c r="B152" s="4" t="str">
        <f>IF(Table1[[#This Row],[ann_name]]="","","x")</f>
        <v>x</v>
      </c>
      <c r="C152" t="s">
        <v>335</v>
      </c>
      <c r="D152" t="s">
        <v>336</v>
      </c>
      <c r="E152" t="s">
        <v>513</v>
      </c>
      <c r="F152" t="s">
        <v>338</v>
      </c>
      <c r="G152" t="s">
        <v>34</v>
      </c>
      <c r="H152" t="s">
        <v>18</v>
      </c>
      <c r="I152" t="s">
        <v>337</v>
      </c>
      <c r="J152" t="s">
        <v>339</v>
      </c>
      <c r="K152" s="1">
        <v>44077</v>
      </c>
      <c r="L152">
        <v>16</v>
      </c>
      <c r="M152">
        <v>34897228</v>
      </c>
      <c r="N152" t="s">
        <v>340</v>
      </c>
      <c r="O152" s="1">
        <v>44077</v>
      </c>
      <c r="P152">
        <v>11875</v>
      </c>
    </row>
    <row r="153" spans="1:16" hidden="1" x14ac:dyDescent="0.2">
      <c r="B153" s="4" t="str">
        <f>IF(Table1[[#This Row],[ann_name]]="","","x")</f>
        <v>x</v>
      </c>
      <c r="C153" t="s">
        <v>335</v>
      </c>
      <c r="D153" t="s">
        <v>336</v>
      </c>
      <c r="E153" t="s">
        <v>337</v>
      </c>
      <c r="F153" t="s">
        <v>338</v>
      </c>
      <c r="G153" t="s">
        <v>34</v>
      </c>
      <c r="H153" t="s">
        <v>18</v>
      </c>
      <c r="I153" t="s">
        <v>513</v>
      </c>
      <c r="J153" t="s">
        <v>339</v>
      </c>
      <c r="K153" s="1">
        <v>44077</v>
      </c>
      <c r="L153">
        <v>16</v>
      </c>
      <c r="M153">
        <v>34897228</v>
      </c>
      <c r="N153" t="s">
        <v>340</v>
      </c>
      <c r="O153" s="1">
        <v>45289</v>
      </c>
      <c r="P153">
        <v>11849</v>
      </c>
    </row>
    <row r="154" spans="1:16" x14ac:dyDescent="0.2">
      <c r="A154" s="4" t="s">
        <v>482</v>
      </c>
      <c r="B154" s="4" t="str">
        <f>IF(Table1[[#This Row],[ann_name]]="","","x")</f>
        <v/>
      </c>
      <c r="C154" t="s">
        <v>341</v>
      </c>
      <c r="D154" t="s">
        <v>342</v>
      </c>
      <c r="E154" t="s">
        <v>343</v>
      </c>
      <c r="F154" t="s">
        <v>344</v>
      </c>
      <c r="G154" t="s">
        <v>34</v>
      </c>
      <c r="H154" t="s">
        <v>18</v>
      </c>
      <c r="J154" t="s">
        <v>345</v>
      </c>
      <c r="K154" s="1">
        <v>45348</v>
      </c>
      <c r="L154">
        <v>14</v>
      </c>
      <c r="M154">
        <v>43778493</v>
      </c>
    </row>
    <row r="155" spans="1:16" x14ac:dyDescent="0.2">
      <c r="A155" s="4" t="s">
        <v>482</v>
      </c>
      <c r="B155" s="4" t="str">
        <f>IF(Table1[[#This Row],[ann_name]]="","","x")</f>
        <v>x</v>
      </c>
      <c r="C155" t="s">
        <v>346</v>
      </c>
      <c r="D155" t="s">
        <v>347</v>
      </c>
      <c r="E155" t="s">
        <v>514</v>
      </c>
      <c r="F155" t="s">
        <v>349</v>
      </c>
      <c r="G155" t="s">
        <v>17</v>
      </c>
      <c r="H155" t="s">
        <v>18</v>
      </c>
      <c r="I155" t="s">
        <v>348</v>
      </c>
      <c r="J155" t="s">
        <v>154</v>
      </c>
      <c r="K155" s="1">
        <v>39686</v>
      </c>
      <c r="L155">
        <v>392</v>
      </c>
      <c r="M155">
        <v>88644628</v>
      </c>
      <c r="N155" t="s">
        <v>155</v>
      </c>
      <c r="O155" s="1">
        <v>40949</v>
      </c>
      <c r="P155">
        <v>16309</v>
      </c>
    </row>
    <row r="156" spans="1:16" hidden="1" x14ac:dyDescent="0.2">
      <c r="B156" s="4" t="str">
        <f>IF(Table1[[#This Row],[ann_name]]="","","x")</f>
        <v>x</v>
      </c>
      <c r="C156" t="s">
        <v>346</v>
      </c>
      <c r="D156" t="s">
        <v>347</v>
      </c>
      <c r="E156" t="s">
        <v>348</v>
      </c>
      <c r="F156" t="s">
        <v>349</v>
      </c>
      <c r="G156" t="s">
        <v>17</v>
      </c>
      <c r="H156" t="s">
        <v>18</v>
      </c>
      <c r="I156" t="s">
        <v>514</v>
      </c>
      <c r="J156" t="s">
        <v>154</v>
      </c>
      <c r="K156" s="1">
        <v>39686</v>
      </c>
      <c r="L156">
        <v>392</v>
      </c>
      <c r="M156">
        <v>88644628</v>
      </c>
      <c r="N156" t="s">
        <v>155</v>
      </c>
      <c r="O156" s="1">
        <v>45243</v>
      </c>
      <c r="P156">
        <v>16308</v>
      </c>
    </row>
    <row r="157" spans="1:16" x14ac:dyDescent="0.2">
      <c r="A157" s="4" t="s">
        <v>482</v>
      </c>
      <c r="B157" s="4" t="str">
        <f>IF(Table1[[#This Row],[ann_name]]="","","x")</f>
        <v>x</v>
      </c>
      <c r="C157" t="s">
        <v>350</v>
      </c>
      <c r="D157" t="s">
        <v>351</v>
      </c>
      <c r="E157" t="s">
        <v>515</v>
      </c>
      <c r="F157" t="s">
        <v>353</v>
      </c>
      <c r="G157" t="s">
        <v>23</v>
      </c>
      <c r="H157" t="s">
        <v>18</v>
      </c>
      <c r="I157" t="s">
        <v>352</v>
      </c>
      <c r="J157" t="s">
        <v>354</v>
      </c>
      <c r="K157" s="1">
        <v>44595</v>
      </c>
      <c r="L157">
        <v>18</v>
      </c>
      <c r="M157">
        <v>89491239</v>
      </c>
      <c r="N157" t="s">
        <v>355</v>
      </c>
      <c r="O157" s="1">
        <v>44595</v>
      </c>
      <c r="P157">
        <v>17813</v>
      </c>
    </row>
    <row r="158" spans="1:16" hidden="1" x14ac:dyDescent="0.2">
      <c r="B158" s="4" t="str">
        <f>IF(Table1[[#This Row],[ann_name]]="","","x")</f>
        <v>x</v>
      </c>
      <c r="C158" t="s">
        <v>350</v>
      </c>
      <c r="D158" t="s">
        <v>351</v>
      </c>
      <c r="E158" t="s">
        <v>352</v>
      </c>
      <c r="F158" t="s">
        <v>353</v>
      </c>
      <c r="G158" t="s">
        <v>23</v>
      </c>
      <c r="H158" t="s">
        <v>18</v>
      </c>
      <c r="I158" t="s">
        <v>515</v>
      </c>
      <c r="J158" t="s">
        <v>354</v>
      </c>
      <c r="K158" s="1">
        <v>44595</v>
      </c>
      <c r="L158">
        <v>18</v>
      </c>
      <c r="M158">
        <v>89491239</v>
      </c>
      <c r="N158" t="s">
        <v>355</v>
      </c>
      <c r="O158" s="1">
        <v>45289</v>
      </c>
      <c r="P158">
        <v>17813</v>
      </c>
    </row>
    <row r="159" spans="1:16" hidden="1" x14ac:dyDescent="0.2">
      <c r="B159" s="4" t="str">
        <f>IF(Table1[[#This Row],[ann_name]]="","","x")</f>
        <v>x</v>
      </c>
      <c r="C159" t="s">
        <v>356</v>
      </c>
      <c r="D159" t="s">
        <v>357</v>
      </c>
      <c r="E159" t="s">
        <v>516</v>
      </c>
      <c r="F159" t="s">
        <v>359</v>
      </c>
      <c r="G159" t="s">
        <v>40</v>
      </c>
      <c r="H159" t="s">
        <v>18</v>
      </c>
      <c r="I159" t="s">
        <v>358</v>
      </c>
      <c r="J159" t="s">
        <v>360</v>
      </c>
      <c r="K159" s="1">
        <v>44910</v>
      </c>
      <c r="L159">
        <v>18</v>
      </c>
      <c r="M159">
        <v>122823596</v>
      </c>
      <c r="N159" t="s">
        <v>361</v>
      </c>
      <c r="O159" s="1">
        <v>44910</v>
      </c>
      <c r="P159">
        <v>12736</v>
      </c>
    </row>
    <row r="160" spans="1:16" x14ac:dyDescent="0.2">
      <c r="A160" s="4" t="s">
        <v>482</v>
      </c>
      <c r="B160" s="4" t="str">
        <f>IF(Table1[[#This Row],[ann_name]]="","","x")</f>
        <v>x</v>
      </c>
      <c r="C160" t="s">
        <v>356</v>
      </c>
      <c r="D160" t="s">
        <v>357</v>
      </c>
      <c r="E160" t="s">
        <v>358</v>
      </c>
      <c r="F160" t="s">
        <v>359</v>
      </c>
      <c r="G160" t="s">
        <v>40</v>
      </c>
      <c r="H160" t="s">
        <v>18</v>
      </c>
      <c r="I160" t="s">
        <v>516</v>
      </c>
      <c r="J160" t="s">
        <v>360</v>
      </c>
      <c r="K160" s="1">
        <v>44910</v>
      </c>
      <c r="L160">
        <v>18</v>
      </c>
      <c r="M160">
        <v>122823596</v>
      </c>
      <c r="N160" t="s">
        <v>361</v>
      </c>
      <c r="O160" s="1">
        <v>44955</v>
      </c>
      <c r="P160">
        <v>12736</v>
      </c>
    </row>
    <row r="161" spans="1:16" x14ac:dyDescent="0.2">
      <c r="A161" s="4" t="s">
        <v>482</v>
      </c>
      <c r="B161" s="4" t="str">
        <f>IF(Table1[[#This Row],[ann_name]]="","","x")</f>
        <v>x</v>
      </c>
      <c r="C161" t="s">
        <v>362</v>
      </c>
      <c r="D161" t="s">
        <v>363</v>
      </c>
      <c r="E161" t="s">
        <v>517</v>
      </c>
      <c r="F161" t="s">
        <v>365</v>
      </c>
      <c r="G161" t="s">
        <v>23</v>
      </c>
      <c r="H161" t="s">
        <v>18</v>
      </c>
      <c r="I161" t="s">
        <v>364</v>
      </c>
      <c r="J161" t="s">
        <v>366</v>
      </c>
      <c r="K161" s="1">
        <v>40830</v>
      </c>
      <c r="L161">
        <v>7</v>
      </c>
      <c r="M161">
        <v>40979121</v>
      </c>
      <c r="N161" t="s">
        <v>367</v>
      </c>
      <c r="O161" s="1">
        <v>42460</v>
      </c>
      <c r="P161">
        <v>13184</v>
      </c>
    </row>
    <row r="162" spans="1:16" hidden="1" x14ac:dyDescent="0.2">
      <c r="B162" s="4" t="str">
        <f>IF(Table1[[#This Row],[ann_name]]="","","x")</f>
        <v>x</v>
      </c>
      <c r="C162" t="s">
        <v>362</v>
      </c>
      <c r="D162" t="s">
        <v>363</v>
      </c>
      <c r="E162" t="s">
        <v>364</v>
      </c>
      <c r="F162" t="s">
        <v>365</v>
      </c>
      <c r="G162" t="s">
        <v>23</v>
      </c>
      <c r="H162" t="s">
        <v>18</v>
      </c>
      <c r="I162" t="s">
        <v>517</v>
      </c>
      <c r="J162" t="s">
        <v>366</v>
      </c>
      <c r="K162" s="1">
        <v>40830</v>
      </c>
      <c r="L162">
        <v>7</v>
      </c>
      <c r="M162">
        <v>40979121</v>
      </c>
      <c r="N162" t="s">
        <v>367</v>
      </c>
      <c r="O162" s="1">
        <v>43798</v>
      </c>
      <c r="P162">
        <v>13184</v>
      </c>
    </row>
    <row r="163" spans="1:16" x14ac:dyDescent="0.2">
      <c r="A163" s="4" t="s">
        <v>482</v>
      </c>
      <c r="B163" s="4" t="str">
        <f>IF(Table1[[#This Row],[ann_name]]="","","x")</f>
        <v>x</v>
      </c>
      <c r="C163" t="s">
        <v>374</v>
      </c>
      <c r="D163" t="s">
        <v>375</v>
      </c>
      <c r="E163" t="s">
        <v>519</v>
      </c>
      <c r="F163" t="s">
        <v>377</v>
      </c>
      <c r="G163" t="s">
        <v>23</v>
      </c>
      <c r="H163" t="s">
        <v>18</v>
      </c>
      <c r="I163" t="s">
        <v>376</v>
      </c>
      <c r="J163" t="s">
        <v>378</v>
      </c>
      <c r="K163" s="1">
        <v>44881</v>
      </c>
      <c r="L163">
        <v>32</v>
      </c>
      <c r="M163">
        <v>146773001</v>
      </c>
      <c r="N163" t="s">
        <v>379</v>
      </c>
      <c r="O163" s="1">
        <v>44881</v>
      </c>
      <c r="P163">
        <v>30190</v>
      </c>
    </row>
    <row r="164" spans="1:16" hidden="1" x14ac:dyDescent="0.2">
      <c r="B164" s="4" t="str">
        <f>IF(Table1[[#This Row],[ann_name]]="","","x")</f>
        <v>x</v>
      </c>
      <c r="C164" t="s">
        <v>374</v>
      </c>
      <c r="D164" t="s">
        <v>375</v>
      </c>
      <c r="E164" t="s">
        <v>376</v>
      </c>
      <c r="F164" t="s">
        <v>377</v>
      </c>
      <c r="G164" t="s">
        <v>23</v>
      </c>
      <c r="H164" t="s">
        <v>18</v>
      </c>
      <c r="I164" t="s">
        <v>519</v>
      </c>
      <c r="J164" t="s">
        <v>378</v>
      </c>
      <c r="K164" s="1">
        <v>44881</v>
      </c>
      <c r="L164">
        <v>32</v>
      </c>
      <c r="M164">
        <v>146773001</v>
      </c>
      <c r="N164" t="s">
        <v>379</v>
      </c>
      <c r="O164" s="1">
        <v>45469</v>
      </c>
      <c r="P164">
        <v>30147</v>
      </c>
    </row>
    <row r="165" spans="1:16" x14ac:dyDescent="0.2">
      <c r="A165" s="4" t="s">
        <v>482</v>
      </c>
      <c r="B165" s="4" t="str">
        <f>IF(Table1[[#This Row],[ann_name]]="","","x")</f>
        <v>x</v>
      </c>
      <c r="C165" t="s">
        <v>577</v>
      </c>
      <c r="D165" t="s">
        <v>578</v>
      </c>
      <c r="E165" t="s">
        <v>579</v>
      </c>
      <c r="F165" t="s">
        <v>580</v>
      </c>
      <c r="G165" t="s">
        <v>17</v>
      </c>
      <c r="H165" t="s">
        <v>539</v>
      </c>
      <c r="J165" t="s">
        <v>29</v>
      </c>
      <c r="K165" s="1">
        <v>42395</v>
      </c>
      <c r="L165">
        <v>156</v>
      </c>
      <c r="M165">
        <v>19393393</v>
      </c>
      <c r="N165" t="s">
        <v>70</v>
      </c>
      <c r="O165" s="1">
        <v>42395</v>
      </c>
      <c r="P165">
        <v>6790</v>
      </c>
    </row>
    <row r="166" spans="1:16" hidden="1" x14ac:dyDescent="0.2">
      <c r="B166" s="4" t="str">
        <f>IF(Table1[[#This Row],[ann_name]]="","","x")</f>
        <v/>
      </c>
      <c r="C166" t="s">
        <v>577</v>
      </c>
      <c r="D166" t="s">
        <v>578</v>
      </c>
      <c r="E166" t="s">
        <v>581</v>
      </c>
      <c r="F166" t="s">
        <v>582</v>
      </c>
      <c r="G166" t="s">
        <v>34</v>
      </c>
      <c r="H166" t="s">
        <v>539</v>
      </c>
      <c r="J166" t="s">
        <v>583</v>
      </c>
      <c r="K166" s="1">
        <v>45162</v>
      </c>
      <c r="L166">
        <v>1341</v>
      </c>
      <c r="M166">
        <v>16988136</v>
      </c>
    </row>
    <row r="167" spans="1:16" x14ac:dyDescent="0.2">
      <c r="A167" s="4" t="s">
        <v>482</v>
      </c>
      <c r="B167" s="4" t="str">
        <f>IF(Table1[[#This Row],[ann_name]]="","","x")</f>
        <v>x</v>
      </c>
      <c r="C167" t="s">
        <v>368</v>
      </c>
      <c r="D167" t="s">
        <v>369</v>
      </c>
      <c r="E167" t="s">
        <v>518</v>
      </c>
      <c r="F167" t="s">
        <v>371</v>
      </c>
      <c r="G167" t="s">
        <v>40</v>
      </c>
      <c r="H167" t="s">
        <v>18</v>
      </c>
      <c r="I167" t="s">
        <v>370</v>
      </c>
      <c r="J167" t="s">
        <v>372</v>
      </c>
      <c r="K167" s="1">
        <v>44245</v>
      </c>
      <c r="L167">
        <v>16</v>
      </c>
      <c r="M167">
        <v>40703773</v>
      </c>
      <c r="N167" t="s">
        <v>373</v>
      </c>
      <c r="O167" s="1">
        <v>44245</v>
      </c>
      <c r="P167">
        <v>12425</v>
      </c>
    </row>
    <row r="168" spans="1:16" hidden="1" x14ac:dyDescent="0.2">
      <c r="B168" s="4" t="str">
        <f>IF(Table1[[#This Row],[ann_name]]="","","x")</f>
        <v>x</v>
      </c>
      <c r="C168" t="s">
        <v>368</v>
      </c>
      <c r="D168" t="s">
        <v>369</v>
      </c>
      <c r="E168" t="s">
        <v>370</v>
      </c>
      <c r="F168" t="s">
        <v>371</v>
      </c>
      <c r="G168" t="s">
        <v>40</v>
      </c>
      <c r="H168" t="s">
        <v>18</v>
      </c>
      <c r="I168" t="s">
        <v>518</v>
      </c>
      <c r="J168" t="s">
        <v>372</v>
      </c>
      <c r="K168" s="1">
        <v>44245</v>
      </c>
      <c r="L168">
        <v>16</v>
      </c>
      <c r="M168">
        <v>40703773</v>
      </c>
      <c r="N168" t="s">
        <v>373</v>
      </c>
      <c r="O168" s="1">
        <v>44435</v>
      </c>
      <c r="P168">
        <v>12425</v>
      </c>
    </row>
    <row r="169" spans="1:16" x14ac:dyDescent="0.2">
      <c r="A169" s="4" t="s">
        <v>482</v>
      </c>
      <c r="B169" s="4" t="str">
        <f>IF(Table1[[#This Row],[ann_name]]="","","x")</f>
        <v>x</v>
      </c>
      <c r="C169" t="s">
        <v>380</v>
      </c>
      <c r="D169" t="s">
        <v>381</v>
      </c>
      <c r="E169" t="s">
        <v>520</v>
      </c>
      <c r="F169" t="s">
        <v>383</v>
      </c>
      <c r="G169" t="s">
        <v>40</v>
      </c>
      <c r="H169" t="s">
        <v>18</v>
      </c>
      <c r="I169" t="s">
        <v>382</v>
      </c>
      <c r="J169" t="s">
        <v>384</v>
      </c>
      <c r="K169" s="1">
        <v>40651</v>
      </c>
      <c r="L169">
        <v>16</v>
      </c>
      <c r="M169">
        <v>12071326</v>
      </c>
      <c r="N169" t="s">
        <v>521</v>
      </c>
      <c r="O169" s="1">
        <v>45716</v>
      </c>
      <c r="P169">
        <v>6431</v>
      </c>
    </row>
    <row r="170" spans="1:16" hidden="1" x14ac:dyDescent="0.2">
      <c r="B170" s="4" t="str">
        <f>IF(Table1[[#This Row],[ann_name]]="","","x")</f>
        <v>x</v>
      </c>
      <c r="C170" t="s">
        <v>380</v>
      </c>
      <c r="D170" t="s">
        <v>381</v>
      </c>
      <c r="E170" t="s">
        <v>382</v>
      </c>
      <c r="F170" t="s">
        <v>383</v>
      </c>
      <c r="G170" t="s">
        <v>40</v>
      </c>
      <c r="H170" t="s">
        <v>18</v>
      </c>
      <c r="I170" t="s">
        <v>520</v>
      </c>
      <c r="J170" t="s">
        <v>384</v>
      </c>
      <c r="K170" s="1">
        <v>41990</v>
      </c>
      <c r="L170">
        <v>16</v>
      </c>
      <c r="M170">
        <v>12071326</v>
      </c>
      <c r="N170" t="s">
        <v>385</v>
      </c>
      <c r="O170" s="1">
        <v>45721</v>
      </c>
      <c r="P170">
        <v>6477</v>
      </c>
    </row>
    <row r="171" spans="1:16" x14ac:dyDescent="0.2">
      <c r="A171" s="4" t="s">
        <v>482</v>
      </c>
      <c r="B171" s="4" t="str">
        <f>IF(Table1[[#This Row],[ann_name]]="","","x")</f>
        <v/>
      </c>
      <c r="C171" t="s">
        <v>386</v>
      </c>
      <c r="D171" t="s">
        <v>387</v>
      </c>
      <c r="E171" t="s">
        <v>388</v>
      </c>
      <c r="F171" t="s">
        <v>389</v>
      </c>
      <c r="G171" t="s">
        <v>23</v>
      </c>
      <c r="H171" t="s">
        <v>18</v>
      </c>
      <c r="J171" t="s">
        <v>390</v>
      </c>
      <c r="K171" s="1">
        <v>45530</v>
      </c>
      <c r="L171">
        <v>14</v>
      </c>
      <c r="M171">
        <v>34358263</v>
      </c>
    </row>
    <row r="172" spans="1:16" hidden="1" x14ac:dyDescent="0.2">
      <c r="B172" s="4" t="str">
        <f>IF(Table1[[#This Row],[ann_name]]="","","x")</f>
        <v/>
      </c>
      <c r="C172" t="s">
        <v>386</v>
      </c>
      <c r="D172" t="s">
        <v>387</v>
      </c>
      <c r="E172" t="s">
        <v>388</v>
      </c>
      <c r="F172" t="s">
        <v>389</v>
      </c>
      <c r="G172" t="s">
        <v>23</v>
      </c>
      <c r="H172" t="s">
        <v>18</v>
      </c>
      <c r="J172" t="s">
        <v>390</v>
      </c>
      <c r="K172" s="1">
        <v>45530</v>
      </c>
      <c r="L172">
        <v>14</v>
      </c>
      <c r="M172">
        <v>34358263</v>
      </c>
      <c r="O172" s="1"/>
    </row>
    <row r="173" spans="1:16" hidden="1" x14ac:dyDescent="0.2">
      <c r="B173" s="4" t="str">
        <f>IF(Table1[[#This Row],[ann_name]]="","","x")</f>
        <v/>
      </c>
      <c r="C173" t="s">
        <v>386</v>
      </c>
      <c r="D173" t="s">
        <v>387</v>
      </c>
      <c r="E173" t="s">
        <v>685</v>
      </c>
      <c r="F173" t="s">
        <v>686</v>
      </c>
      <c r="G173" t="s">
        <v>17</v>
      </c>
      <c r="H173" t="s">
        <v>539</v>
      </c>
      <c r="J173" t="s">
        <v>687</v>
      </c>
      <c r="K173" s="1">
        <v>44789</v>
      </c>
      <c r="L173">
        <v>14366</v>
      </c>
      <c r="M173">
        <v>30345695</v>
      </c>
      <c r="O173" s="1"/>
    </row>
    <row r="174" spans="1:16" hidden="1" x14ac:dyDescent="0.2">
      <c r="B174" s="4" t="str">
        <f>IF(Table1[[#This Row],[ann_name]]="","","x")</f>
        <v/>
      </c>
      <c r="C174" t="s">
        <v>386</v>
      </c>
      <c r="D174" t="s">
        <v>387</v>
      </c>
      <c r="E174" t="s">
        <v>688</v>
      </c>
      <c r="F174" t="s">
        <v>689</v>
      </c>
      <c r="G174" t="s">
        <v>34</v>
      </c>
      <c r="H174" t="s">
        <v>539</v>
      </c>
      <c r="J174" t="s">
        <v>345</v>
      </c>
      <c r="K174" s="1">
        <v>45348</v>
      </c>
      <c r="L174">
        <v>8372</v>
      </c>
      <c r="M174">
        <v>29698041</v>
      </c>
      <c r="O174" s="1"/>
    </row>
    <row r="175" spans="1:16" hidden="1" x14ac:dyDescent="0.2">
      <c r="B175" s="4" t="str">
        <f>IF(Table1[[#This Row],[ann_name]]="","","x")</f>
        <v>x</v>
      </c>
      <c r="C175" t="s">
        <v>386</v>
      </c>
      <c r="D175" t="s">
        <v>387</v>
      </c>
      <c r="E175" t="s">
        <v>690</v>
      </c>
      <c r="F175" t="s">
        <v>691</v>
      </c>
      <c r="G175" t="s">
        <v>34</v>
      </c>
      <c r="H175" t="s">
        <v>539</v>
      </c>
      <c r="J175" t="s">
        <v>692</v>
      </c>
      <c r="K175" s="1">
        <v>45741</v>
      </c>
      <c r="L175">
        <v>17</v>
      </c>
      <c r="M175">
        <v>31867905</v>
      </c>
      <c r="N175" t="s">
        <v>693</v>
      </c>
      <c r="O175" s="1">
        <v>45741</v>
      </c>
      <c r="P175">
        <v>9738</v>
      </c>
    </row>
    <row r="176" spans="1:16" x14ac:dyDescent="0.2">
      <c r="A176" s="4" t="s">
        <v>482</v>
      </c>
      <c r="B176" s="4" t="str">
        <f>IF(Table1[[#This Row],[ann_name]]="","","x")</f>
        <v>x</v>
      </c>
      <c r="C176" t="s">
        <v>391</v>
      </c>
      <c r="D176" t="s">
        <v>392</v>
      </c>
      <c r="E176" t="s">
        <v>522</v>
      </c>
      <c r="F176" t="s">
        <v>394</v>
      </c>
      <c r="G176" t="s">
        <v>17</v>
      </c>
      <c r="H176" t="s">
        <v>18</v>
      </c>
      <c r="I176" t="s">
        <v>393</v>
      </c>
      <c r="J176" t="s">
        <v>154</v>
      </c>
      <c r="K176" s="1">
        <v>41502</v>
      </c>
      <c r="L176">
        <v>32</v>
      </c>
      <c r="M176">
        <v>11733154</v>
      </c>
      <c r="N176" t="s">
        <v>155</v>
      </c>
      <c r="O176" s="1">
        <v>42085</v>
      </c>
      <c r="P176">
        <v>5224</v>
      </c>
    </row>
    <row r="177" spans="1:16" hidden="1" x14ac:dyDescent="0.2">
      <c r="B177" s="4" t="str">
        <f>IF(Table1[[#This Row],[ann_name]]="","","x")</f>
        <v>x</v>
      </c>
      <c r="C177" t="s">
        <v>391</v>
      </c>
      <c r="D177" t="s">
        <v>392</v>
      </c>
      <c r="E177" t="s">
        <v>393</v>
      </c>
      <c r="F177" t="s">
        <v>394</v>
      </c>
      <c r="G177" t="s">
        <v>17</v>
      </c>
      <c r="H177" t="s">
        <v>18</v>
      </c>
      <c r="I177" t="s">
        <v>522</v>
      </c>
      <c r="J177" t="s">
        <v>154</v>
      </c>
      <c r="K177" s="1">
        <v>41502</v>
      </c>
      <c r="L177">
        <v>32</v>
      </c>
      <c r="M177">
        <v>11733154</v>
      </c>
      <c r="N177" t="s">
        <v>155</v>
      </c>
      <c r="O177" s="1">
        <v>43019</v>
      </c>
      <c r="P177">
        <v>5224</v>
      </c>
    </row>
    <row r="178" spans="1:16" x14ac:dyDescent="0.2">
      <c r="A178" s="4" t="s">
        <v>482</v>
      </c>
      <c r="B178" s="4" t="str">
        <f>IF(Table1[[#This Row],[ann_name]]="","","x")</f>
        <v>x</v>
      </c>
      <c r="C178" t="s">
        <v>395</v>
      </c>
      <c r="D178" t="s">
        <v>396</v>
      </c>
      <c r="E178" t="s">
        <v>523</v>
      </c>
      <c r="F178" t="s">
        <v>398</v>
      </c>
      <c r="G178" t="s">
        <v>23</v>
      </c>
      <c r="H178" t="s">
        <v>18</v>
      </c>
      <c r="I178" t="s">
        <v>397</v>
      </c>
      <c r="J178" t="s">
        <v>399</v>
      </c>
      <c r="K178" s="1">
        <v>39395</v>
      </c>
      <c r="L178">
        <v>3</v>
      </c>
      <c r="M178">
        <v>12571820</v>
      </c>
      <c r="N178" t="s">
        <v>524</v>
      </c>
      <c r="O178" s="1">
        <v>45610</v>
      </c>
      <c r="P178">
        <v>12640</v>
      </c>
    </row>
    <row r="179" spans="1:16" hidden="1" x14ac:dyDescent="0.2">
      <c r="B179" s="4" t="str">
        <f>IF(Table1[[#This Row],[ann_name]]="","","x")</f>
        <v>x</v>
      </c>
      <c r="C179" t="s">
        <v>395</v>
      </c>
      <c r="D179" t="s">
        <v>396</v>
      </c>
      <c r="E179" t="s">
        <v>397</v>
      </c>
      <c r="F179" t="s">
        <v>398</v>
      </c>
      <c r="G179" t="s">
        <v>23</v>
      </c>
      <c r="H179" t="s">
        <v>18</v>
      </c>
      <c r="I179" t="s">
        <v>523</v>
      </c>
      <c r="J179" t="s">
        <v>399</v>
      </c>
      <c r="K179" s="1">
        <v>43669</v>
      </c>
      <c r="L179">
        <v>3</v>
      </c>
      <c r="M179">
        <v>12571820</v>
      </c>
      <c r="N179" t="s">
        <v>400</v>
      </c>
      <c r="O179" s="1">
        <v>45520</v>
      </c>
      <c r="P179">
        <v>12645</v>
      </c>
    </row>
    <row r="180" spans="1:16" x14ac:dyDescent="0.2">
      <c r="A180" s="4" t="s">
        <v>482</v>
      </c>
      <c r="B180" s="4" t="str">
        <f>IF(Table1[[#This Row],[ann_name]]="","","x")</f>
        <v>x</v>
      </c>
      <c r="C180" t="s">
        <v>401</v>
      </c>
      <c r="D180" t="s">
        <v>402</v>
      </c>
      <c r="E180" t="s">
        <v>525</v>
      </c>
      <c r="F180" t="s">
        <v>404</v>
      </c>
      <c r="G180" t="s">
        <v>17</v>
      </c>
      <c r="H180" t="s">
        <v>18</v>
      </c>
      <c r="I180" t="s">
        <v>403</v>
      </c>
      <c r="J180" t="s">
        <v>154</v>
      </c>
      <c r="K180" s="1">
        <v>42201</v>
      </c>
      <c r="L180">
        <v>36</v>
      </c>
      <c r="M180">
        <v>38330312</v>
      </c>
      <c r="N180" t="s">
        <v>155</v>
      </c>
      <c r="O180" s="1">
        <v>42577</v>
      </c>
      <c r="P180">
        <v>14715</v>
      </c>
    </row>
    <row r="181" spans="1:16" hidden="1" x14ac:dyDescent="0.2">
      <c r="B181" s="4" t="str">
        <f>IF(Table1[[#This Row],[ann_name]]="","","x")</f>
        <v>x</v>
      </c>
      <c r="C181" t="s">
        <v>401</v>
      </c>
      <c r="D181" t="s">
        <v>402</v>
      </c>
      <c r="E181" t="s">
        <v>403</v>
      </c>
      <c r="F181" t="s">
        <v>404</v>
      </c>
      <c r="G181" t="s">
        <v>17</v>
      </c>
      <c r="H181" t="s">
        <v>18</v>
      </c>
      <c r="I181" t="s">
        <v>525</v>
      </c>
      <c r="J181" t="s">
        <v>154</v>
      </c>
      <c r="K181" s="1">
        <v>42201</v>
      </c>
      <c r="L181">
        <v>36</v>
      </c>
      <c r="M181">
        <v>38330312</v>
      </c>
      <c r="N181" t="s">
        <v>155</v>
      </c>
      <c r="O181" s="1">
        <v>45019</v>
      </c>
      <c r="P181">
        <v>14714</v>
      </c>
    </row>
    <row r="182" spans="1:16" x14ac:dyDescent="0.2">
      <c r="A182" s="4" t="s">
        <v>482</v>
      </c>
      <c r="B182" s="4" t="str">
        <f>IF(Table1[[#This Row],[ann_name]]="","","x")</f>
        <v/>
      </c>
      <c r="C182" t="s">
        <v>405</v>
      </c>
      <c r="D182" t="s">
        <v>406</v>
      </c>
      <c r="E182" t="s">
        <v>407</v>
      </c>
      <c r="F182" t="s">
        <v>408</v>
      </c>
      <c r="G182" t="s">
        <v>40</v>
      </c>
      <c r="H182" t="s">
        <v>18</v>
      </c>
      <c r="J182" t="s">
        <v>409</v>
      </c>
      <c r="K182" s="1">
        <v>42144</v>
      </c>
      <c r="L182">
        <v>26</v>
      </c>
      <c r="M182">
        <v>19979571</v>
      </c>
    </row>
    <row r="183" spans="1:16" x14ac:dyDescent="0.2">
      <c r="A183" s="4" t="s">
        <v>482</v>
      </c>
      <c r="B183" s="4" t="str">
        <f>IF(Table1[[#This Row],[ann_name]]="","","x")</f>
        <v/>
      </c>
      <c r="C183" t="s">
        <v>410</v>
      </c>
      <c r="D183" t="s">
        <v>411</v>
      </c>
      <c r="E183" t="s">
        <v>412</v>
      </c>
      <c r="F183" t="s">
        <v>413</v>
      </c>
      <c r="G183" t="s">
        <v>40</v>
      </c>
      <c r="H183" t="s">
        <v>18</v>
      </c>
      <c r="J183" t="s">
        <v>339</v>
      </c>
      <c r="K183" s="1">
        <v>43473</v>
      </c>
      <c r="L183">
        <v>14</v>
      </c>
      <c r="M183">
        <v>33045214</v>
      </c>
    </row>
    <row r="184" spans="1:16" hidden="1" x14ac:dyDescent="0.2">
      <c r="B184" s="4" t="str">
        <f>IF(Table1[[#This Row],[ann_name]]="","","x")</f>
        <v/>
      </c>
      <c r="C184" t="s">
        <v>410</v>
      </c>
      <c r="D184" t="s">
        <v>411</v>
      </c>
      <c r="E184" t="s">
        <v>412</v>
      </c>
      <c r="F184" t="s">
        <v>413</v>
      </c>
      <c r="G184" t="s">
        <v>40</v>
      </c>
      <c r="H184" t="s">
        <v>18</v>
      </c>
      <c r="J184" t="s">
        <v>339</v>
      </c>
      <c r="K184" s="1">
        <v>43473</v>
      </c>
      <c r="L184">
        <v>14</v>
      </c>
      <c r="M184">
        <v>33045214</v>
      </c>
      <c r="O184" s="1"/>
    </row>
    <row r="185" spans="1:16" hidden="1" x14ac:dyDescent="0.2">
      <c r="B185" s="4" t="str">
        <f>IF(Table1[[#This Row],[ann_name]]="","","x")</f>
        <v/>
      </c>
      <c r="C185" t="s">
        <v>410</v>
      </c>
      <c r="D185" t="s">
        <v>411</v>
      </c>
      <c r="E185" t="s">
        <v>694</v>
      </c>
      <c r="F185" t="s">
        <v>695</v>
      </c>
      <c r="G185" t="s">
        <v>17</v>
      </c>
      <c r="H185" t="s">
        <v>539</v>
      </c>
      <c r="J185" t="s">
        <v>339</v>
      </c>
      <c r="K185" s="1">
        <v>41927</v>
      </c>
      <c r="L185">
        <v>360</v>
      </c>
      <c r="M185">
        <v>32155604</v>
      </c>
      <c r="O185" s="1"/>
    </row>
    <row r="186" spans="1:16" hidden="1" x14ac:dyDescent="0.2">
      <c r="B186" s="4" t="str">
        <f>IF(Table1[[#This Row],[ann_name]]="","","x")</f>
        <v/>
      </c>
      <c r="C186" t="s">
        <v>410</v>
      </c>
      <c r="D186" t="s">
        <v>411</v>
      </c>
      <c r="E186" t="s">
        <v>696</v>
      </c>
      <c r="F186" t="s">
        <v>697</v>
      </c>
      <c r="G186" t="s">
        <v>17</v>
      </c>
      <c r="H186" t="s">
        <v>539</v>
      </c>
      <c r="J186" t="s">
        <v>698</v>
      </c>
      <c r="K186" s="1">
        <v>43332</v>
      </c>
      <c r="L186">
        <v>379</v>
      </c>
      <c r="M186">
        <v>30365629</v>
      </c>
      <c r="O186" s="1"/>
    </row>
    <row r="187" spans="1:16" hidden="1" x14ac:dyDescent="0.2">
      <c r="B187" s="4" t="str">
        <f>IF(Table1[[#This Row],[ann_name]]="","","x")</f>
        <v>x</v>
      </c>
      <c r="C187" t="s">
        <v>410</v>
      </c>
      <c r="D187" t="s">
        <v>411</v>
      </c>
      <c r="E187" t="s">
        <v>699</v>
      </c>
      <c r="F187" t="s">
        <v>700</v>
      </c>
      <c r="G187" t="s">
        <v>34</v>
      </c>
      <c r="H187" t="s">
        <v>539</v>
      </c>
      <c r="J187" t="s">
        <v>339</v>
      </c>
      <c r="K187" s="1">
        <v>44638</v>
      </c>
      <c r="L187">
        <v>58</v>
      </c>
      <c r="M187">
        <v>33158713</v>
      </c>
      <c r="N187" t="s">
        <v>340</v>
      </c>
      <c r="O187" s="1">
        <v>44638</v>
      </c>
      <c r="P187">
        <v>10381</v>
      </c>
    </row>
    <row r="188" spans="1:16" hidden="1" x14ac:dyDescent="0.2">
      <c r="B188" s="4" t="str">
        <f>IF(Table1[[#This Row],[ann_name]]="","","x")</f>
        <v>x</v>
      </c>
      <c r="C188" t="s">
        <v>410</v>
      </c>
      <c r="D188" t="s">
        <v>411</v>
      </c>
      <c r="E188" t="s">
        <v>701</v>
      </c>
      <c r="F188" t="s">
        <v>702</v>
      </c>
      <c r="G188" t="s">
        <v>34</v>
      </c>
      <c r="H188" t="s">
        <v>539</v>
      </c>
      <c r="J188" t="s">
        <v>339</v>
      </c>
      <c r="K188" s="1">
        <v>44638</v>
      </c>
      <c r="L188">
        <v>35</v>
      </c>
      <c r="M188">
        <v>33373109</v>
      </c>
      <c r="N188" t="s">
        <v>340</v>
      </c>
      <c r="O188" s="1">
        <v>44638</v>
      </c>
      <c r="P188">
        <v>10325</v>
      </c>
    </row>
    <row r="189" spans="1:16" hidden="1" x14ac:dyDescent="0.2">
      <c r="B189" s="4" t="str">
        <f>IF(Table1[[#This Row],[ann_name]]="","","x")</f>
        <v>x</v>
      </c>
      <c r="C189" t="s">
        <v>410</v>
      </c>
      <c r="D189" t="s">
        <v>411</v>
      </c>
      <c r="E189" t="s">
        <v>703</v>
      </c>
      <c r="F189" t="s">
        <v>704</v>
      </c>
      <c r="G189" t="s">
        <v>34</v>
      </c>
      <c r="H189" t="s">
        <v>539</v>
      </c>
      <c r="J189" t="s">
        <v>339</v>
      </c>
      <c r="K189" s="1">
        <v>44638</v>
      </c>
      <c r="L189">
        <v>32</v>
      </c>
      <c r="M189">
        <v>32855596</v>
      </c>
      <c r="N189" t="s">
        <v>340</v>
      </c>
      <c r="O189" s="1">
        <v>44638</v>
      </c>
      <c r="P189">
        <v>10476</v>
      </c>
    </row>
    <row r="190" spans="1:16" hidden="1" x14ac:dyDescent="0.2">
      <c r="B190" s="4" t="str">
        <f>IF(Table1[[#This Row],[ann_name]]="","","x")</f>
        <v>x</v>
      </c>
      <c r="C190" t="s">
        <v>410</v>
      </c>
      <c r="D190" t="s">
        <v>411</v>
      </c>
      <c r="E190" t="s">
        <v>705</v>
      </c>
      <c r="F190" t="s">
        <v>706</v>
      </c>
      <c r="G190" t="s">
        <v>34</v>
      </c>
      <c r="H190" t="s">
        <v>539</v>
      </c>
      <c r="J190" t="s">
        <v>339</v>
      </c>
      <c r="K190" s="1">
        <v>44638</v>
      </c>
      <c r="L190">
        <v>32</v>
      </c>
      <c r="M190">
        <v>33571907</v>
      </c>
      <c r="N190" t="s">
        <v>340</v>
      </c>
      <c r="O190" s="1">
        <v>44636</v>
      </c>
      <c r="P190">
        <v>5348</v>
      </c>
    </row>
    <row r="191" spans="1:16" hidden="1" x14ac:dyDescent="0.2">
      <c r="B191" s="4" t="str">
        <f>IF(Table1[[#This Row],[ann_name]]="","","x")</f>
        <v/>
      </c>
      <c r="C191" t="s">
        <v>410</v>
      </c>
      <c r="D191" t="s">
        <v>411</v>
      </c>
      <c r="E191" t="s">
        <v>707</v>
      </c>
      <c r="F191" t="s">
        <v>708</v>
      </c>
      <c r="G191" t="s">
        <v>34</v>
      </c>
      <c r="H191" t="s">
        <v>539</v>
      </c>
      <c r="J191" t="s">
        <v>345</v>
      </c>
      <c r="K191" s="1">
        <v>45348</v>
      </c>
      <c r="L191">
        <v>44</v>
      </c>
      <c r="M191">
        <v>36399724</v>
      </c>
      <c r="O191" s="1"/>
    </row>
    <row r="192" spans="1:16" hidden="1" x14ac:dyDescent="0.2">
      <c r="B192" s="4" t="str">
        <f>IF(Table1[[#This Row],[ann_name]]="","","x")</f>
        <v>x</v>
      </c>
      <c r="C192" t="s">
        <v>414</v>
      </c>
      <c r="D192" t="s">
        <v>415</v>
      </c>
      <c r="E192" t="s">
        <v>526</v>
      </c>
      <c r="F192" t="s">
        <v>417</v>
      </c>
      <c r="G192" t="s">
        <v>40</v>
      </c>
      <c r="H192" t="s">
        <v>18</v>
      </c>
      <c r="I192" t="s">
        <v>416</v>
      </c>
      <c r="J192" t="s">
        <v>154</v>
      </c>
      <c r="K192" s="1">
        <v>43774</v>
      </c>
      <c r="L192">
        <v>8</v>
      </c>
      <c r="M192">
        <v>28198338</v>
      </c>
      <c r="N192" t="s">
        <v>155</v>
      </c>
      <c r="O192" s="1">
        <v>43774</v>
      </c>
      <c r="P192">
        <v>10066</v>
      </c>
    </row>
    <row r="193" spans="1:16" x14ac:dyDescent="0.2">
      <c r="A193" s="4" t="s">
        <v>482</v>
      </c>
      <c r="B193" s="4" t="str">
        <f>IF(Table1[[#This Row],[ann_name]]="","","x")</f>
        <v>x</v>
      </c>
      <c r="C193" t="s">
        <v>414</v>
      </c>
      <c r="D193" t="s">
        <v>415</v>
      </c>
      <c r="E193" t="s">
        <v>416</v>
      </c>
      <c r="F193" t="s">
        <v>417</v>
      </c>
      <c r="G193" t="s">
        <v>40</v>
      </c>
      <c r="H193" t="s">
        <v>18</v>
      </c>
      <c r="I193" t="s">
        <v>526</v>
      </c>
      <c r="J193" t="s">
        <v>154</v>
      </c>
      <c r="K193" s="1">
        <v>43774</v>
      </c>
      <c r="L193">
        <v>8</v>
      </c>
      <c r="M193">
        <v>28198338</v>
      </c>
      <c r="N193" t="s">
        <v>155</v>
      </c>
      <c r="O193" s="1">
        <v>45001</v>
      </c>
      <c r="P193">
        <v>10066</v>
      </c>
    </row>
    <row r="194" spans="1:16" x14ac:dyDescent="0.2">
      <c r="A194" s="4" t="s">
        <v>482</v>
      </c>
      <c r="B194" s="4" t="str">
        <f>IF(Table1[[#This Row],[ann_name]]="","","x")</f>
        <v>x</v>
      </c>
      <c r="C194" t="s">
        <v>418</v>
      </c>
      <c r="D194" t="s">
        <v>419</v>
      </c>
      <c r="E194" t="s">
        <v>527</v>
      </c>
      <c r="F194" t="s">
        <v>421</v>
      </c>
      <c r="G194" t="s">
        <v>40</v>
      </c>
      <c r="H194" t="s">
        <v>18</v>
      </c>
      <c r="I194" t="s">
        <v>420</v>
      </c>
      <c r="J194" t="s">
        <v>339</v>
      </c>
      <c r="K194" s="1">
        <v>44496</v>
      </c>
      <c r="L194">
        <v>7</v>
      </c>
      <c r="M194">
        <v>37545380</v>
      </c>
      <c r="N194" t="s">
        <v>340</v>
      </c>
      <c r="O194" s="1">
        <v>44607</v>
      </c>
      <c r="P194">
        <v>12041</v>
      </c>
    </row>
    <row r="195" spans="1:16" hidden="1" x14ac:dyDescent="0.2">
      <c r="B195" s="4" t="str">
        <f>IF(Table1[[#This Row],[ann_name]]="","","x")</f>
        <v>x</v>
      </c>
      <c r="C195" t="s">
        <v>418</v>
      </c>
      <c r="D195" t="s">
        <v>419</v>
      </c>
      <c r="E195" t="s">
        <v>420</v>
      </c>
      <c r="F195" t="s">
        <v>421</v>
      </c>
      <c r="G195" t="s">
        <v>40</v>
      </c>
      <c r="H195" t="s">
        <v>18</v>
      </c>
      <c r="I195" t="s">
        <v>527</v>
      </c>
      <c r="J195" t="s">
        <v>339</v>
      </c>
      <c r="K195" s="1">
        <v>44496</v>
      </c>
      <c r="L195">
        <v>7</v>
      </c>
      <c r="M195">
        <v>37545380</v>
      </c>
      <c r="N195" t="s">
        <v>340</v>
      </c>
      <c r="O195" s="1">
        <v>45469</v>
      </c>
      <c r="P195">
        <v>12041</v>
      </c>
    </row>
    <row r="196" spans="1:16" x14ac:dyDescent="0.2">
      <c r="A196" s="4" t="s">
        <v>482</v>
      </c>
      <c r="B196" s="4" t="str">
        <f>IF(Table1[[#This Row],[ann_name]]="","","x")</f>
        <v>x</v>
      </c>
      <c r="C196" t="s">
        <v>422</v>
      </c>
      <c r="D196" t="s">
        <v>423</v>
      </c>
      <c r="E196" t="s">
        <v>528</v>
      </c>
      <c r="F196" t="s">
        <v>425</v>
      </c>
      <c r="G196" t="s">
        <v>40</v>
      </c>
      <c r="H196" t="s">
        <v>18</v>
      </c>
      <c r="I196" t="s">
        <v>424</v>
      </c>
      <c r="J196" t="s">
        <v>339</v>
      </c>
      <c r="K196" s="1">
        <v>44496</v>
      </c>
      <c r="L196">
        <v>7</v>
      </c>
      <c r="M196">
        <v>37300646</v>
      </c>
      <c r="N196" t="s">
        <v>340</v>
      </c>
      <c r="O196" s="1">
        <v>44607</v>
      </c>
      <c r="P196">
        <v>13327</v>
      </c>
    </row>
    <row r="197" spans="1:16" hidden="1" x14ac:dyDescent="0.2">
      <c r="B197" s="4" t="str">
        <f>IF(Table1[[#This Row],[ann_name]]="","","x")</f>
        <v>x</v>
      </c>
      <c r="C197" t="s">
        <v>422</v>
      </c>
      <c r="D197" t="s">
        <v>423</v>
      </c>
      <c r="E197" t="s">
        <v>424</v>
      </c>
      <c r="F197" t="s">
        <v>425</v>
      </c>
      <c r="G197" t="s">
        <v>40</v>
      </c>
      <c r="H197" t="s">
        <v>18</v>
      </c>
      <c r="I197" t="s">
        <v>528</v>
      </c>
      <c r="J197" t="s">
        <v>339</v>
      </c>
      <c r="K197" s="1">
        <v>44496</v>
      </c>
      <c r="L197">
        <v>7</v>
      </c>
      <c r="M197">
        <v>37300646</v>
      </c>
      <c r="N197" t="s">
        <v>340</v>
      </c>
      <c r="O197" s="1">
        <v>45469</v>
      </c>
      <c r="P197">
        <v>13312</v>
      </c>
    </row>
    <row r="198" spans="1:16" x14ac:dyDescent="0.2">
      <c r="A198" s="4" t="s">
        <v>482</v>
      </c>
      <c r="B198" s="4" t="str">
        <f>IF(Table1[[#This Row],[ann_name]]="","","x")</f>
        <v>x</v>
      </c>
      <c r="C198" t="s">
        <v>426</v>
      </c>
      <c r="D198" t="s">
        <v>427</v>
      </c>
      <c r="E198" t="s">
        <v>529</v>
      </c>
      <c r="F198" t="s">
        <v>429</v>
      </c>
      <c r="G198" t="s">
        <v>17</v>
      </c>
      <c r="H198" t="s">
        <v>18</v>
      </c>
      <c r="I198" t="s">
        <v>428</v>
      </c>
      <c r="J198" t="s">
        <v>29</v>
      </c>
      <c r="K198" s="1">
        <v>40742</v>
      </c>
      <c r="L198">
        <v>77</v>
      </c>
      <c r="M198">
        <v>33395713</v>
      </c>
      <c r="N198" t="s">
        <v>70</v>
      </c>
      <c r="O198" s="1">
        <v>42576</v>
      </c>
      <c r="P198">
        <v>9120</v>
      </c>
    </row>
    <row r="199" spans="1:16" hidden="1" x14ac:dyDescent="0.2">
      <c r="B199" s="4" t="str">
        <f>IF(Table1[[#This Row],[ann_name]]="","","x")</f>
        <v>x</v>
      </c>
      <c r="C199" t="s">
        <v>426</v>
      </c>
      <c r="D199" t="s">
        <v>427</v>
      </c>
      <c r="E199" t="s">
        <v>428</v>
      </c>
      <c r="F199" t="s">
        <v>429</v>
      </c>
      <c r="G199" t="s">
        <v>17</v>
      </c>
      <c r="H199" t="s">
        <v>18</v>
      </c>
      <c r="I199" t="s">
        <v>529</v>
      </c>
      <c r="J199" t="s">
        <v>29</v>
      </c>
      <c r="K199" s="1">
        <v>40742</v>
      </c>
      <c r="L199">
        <v>77</v>
      </c>
      <c r="M199">
        <v>33395713</v>
      </c>
      <c r="N199" t="s">
        <v>70</v>
      </c>
      <c r="O199" s="1">
        <v>43866</v>
      </c>
      <c r="P199">
        <v>9116</v>
      </c>
    </row>
    <row r="200" spans="1:16" x14ac:dyDescent="0.2">
      <c r="A200" s="4" t="s">
        <v>482</v>
      </c>
      <c r="B200" s="4" t="str">
        <f>IF(Table1[[#This Row],[ann_name]]="","","x")</f>
        <v>x</v>
      </c>
      <c r="C200" t="s">
        <v>430</v>
      </c>
      <c r="D200" t="s">
        <v>431</v>
      </c>
      <c r="E200" t="s">
        <v>530</v>
      </c>
      <c r="F200" t="s">
        <v>433</v>
      </c>
      <c r="G200" t="s">
        <v>17</v>
      </c>
      <c r="H200" t="s">
        <v>18</v>
      </c>
      <c r="I200" t="s">
        <v>432</v>
      </c>
      <c r="J200" t="s">
        <v>154</v>
      </c>
      <c r="K200" s="1">
        <v>40147</v>
      </c>
      <c r="L200">
        <v>35</v>
      </c>
      <c r="M200">
        <v>22502330</v>
      </c>
      <c r="N200" t="s">
        <v>155</v>
      </c>
      <c r="O200" s="1">
        <v>42075</v>
      </c>
      <c r="P200">
        <v>8713</v>
      </c>
    </row>
    <row r="201" spans="1:16" hidden="1" x14ac:dyDescent="0.2">
      <c r="B201" s="4" t="str">
        <f>IF(Table1[[#This Row],[ann_name]]="","","x")</f>
        <v>x</v>
      </c>
      <c r="C201" t="s">
        <v>430</v>
      </c>
      <c r="D201" t="s">
        <v>431</v>
      </c>
      <c r="E201" t="s">
        <v>432</v>
      </c>
      <c r="F201" t="s">
        <v>433</v>
      </c>
      <c r="G201" t="s">
        <v>17</v>
      </c>
      <c r="H201" t="s">
        <v>18</v>
      </c>
      <c r="I201" t="s">
        <v>530</v>
      </c>
      <c r="J201" t="s">
        <v>154</v>
      </c>
      <c r="K201" s="1">
        <v>40147</v>
      </c>
      <c r="L201">
        <v>35</v>
      </c>
      <c r="M201">
        <v>22502330</v>
      </c>
      <c r="N201" t="s">
        <v>155</v>
      </c>
      <c r="O201" s="1">
        <v>44669</v>
      </c>
      <c r="P201">
        <v>8713</v>
      </c>
    </row>
    <row r="202" spans="1:16" x14ac:dyDescent="0.2">
      <c r="A202" s="4" t="s">
        <v>482</v>
      </c>
      <c r="B202" s="4" t="str">
        <f>IF(Table1[[#This Row],[ann_name]]="","","x")</f>
        <v>x</v>
      </c>
      <c r="C202" t="s">
        <v>434</v>
      </c>
      <c r="D202" t="s">
        <v>435</v>
      </c>
      <c r="E202" t="s">
        <v>531</v>
      </c>
      <c r="F202" t="s">
        <v>437</v>
      </c>
      <c r="G202" t="s">
        <v>23</v>
      </c>
      <c r="H202" t="s">
        <v>18</v>
      </c>
      <c r="I202" t="s">
        <v>436</v>
      </c>
      <c r="J202" t="s">
        <v>154</v>
      </c>
      <c r="K202" s="1">
        <v>42053</v>
      </c>
      <c r="L202">
        <v>23</v>
      </c>
      <c r="M202">
        <v>19664356</v>
      </c>
      <c r="N202" t="s">
        <v>155</v>
      </c>
      <c r="O202" s="1">
        <v>42888</v>
      </c>
      <c r="P202">
        <v>6910</v>
      </c>
    </row>
    <row r="203" spans="1:16" hidden="1" x14ac:dyDescent="0.2">
      <c r="B203" s="4" t="str">
        <f>IF(Table1[[#This Row],[ann_name]]="","","x")</f>
        <v>x</v>
      </c>
      <c r="C203" t="s">
        <v>434</v>
      </c>
      <c r="D203" t="s">
        <v>435</v>
      </c>
      <c r="E203" t="s">
        <v>436</v>
      </c>
      <c r="F203" t="s">
        <v>437</v>
      </c>
      <c r="G203" t="s">
        <v>23</v>
      </c>
      <c r="H203" t="s">
        <v>18</v>
      </c>
      <c r="I203" t="s">
        <v>531</v>
      </c>
      <c r="J203" t="s">
        <v>154</v>
      </c>
      <c r="K203" s="1">
        <v>42053</v>
      </c>
      <c r="L203">
        <v>23</v>
      </c>
      <c r="M203">
        <v>19664356</v>
      </c>
      <c r="N203" t="s">
        <v>155</v>
      </c>
      <c r="O203" s="1">
        <v>45629</v>
      </c>
      <c r="P203">
        <v>6907</v>
      </c>
    </row>
    <row r="204" spans="1:16" x14ac:dyDescent="0.2">
      <c r="B204" s="4"/>
      <c r="C204" t="s">
        <v>438</v>
      </c>
      <c r="D204" t="s">
        <v>439</v>
      </c>
      <c r="E204" t="s">
        <v>511</v>
      </c>
      <c r="F204" t="s">
        <v>297</v>
      </c>
      <c r="G204" t="s">
        <v>34</v>
      </c>
      <c r="H204" t="s">
        <v>18</v>
      </c>
      <c r="I204" t="s">
        <v>296</v>
      </c>
      <c r="J204" t="s">
        <v>298</v>
      </c>
      <c r="K204" s="1">
        <v>42129</v>
      </c>
      <c r="L204">
        <v>536</v>
      </c>
      <c r="M204">
        <v>5690748</v>
      </c>
      <c r="N204" t="s">
        <v>299</v>
      </c>
      <c r="O204" s="1">
        <v>42129</v>
      </c>
      <c r="P204">
        <v>3265</v>
      </c>
    </row>
    <row r="205" spans="1:16" hidden="1" x14ac:dyDescent="0.2">
      <c r="B205" s="4" t="str">
        <f>IF(Table1[[#This Row],[ann_name]]="","","x")</f>
        <v>x</v>
      </c>
      <c r="C205" t="s">
        <v>438</v>
      </c>
      <c r="D205" t="s">
        <v>439</v>
      </c>
      <c r="E205" t="s">
        <v>296</v>
      </c>
      <c r="F205" t="s">
        <v>297</v>
      </c>
      <c r="G205" t="s">
        <v>34</v>
      </c>
      <c r="H205" t="s">
        <v>18</v>
      </c>
      <c r="I205" t="s">
        <v>511</v>
      </c>
      <c r="J205" t="s">
        <v>298</v>
      </c>
      <c r="K205" s="1">
        <v>42129</v>
      </c>
      <c r="L205">
        <v>536</v>
      </c>
      <c r="M205">
        <v>5690748</v>
      </c>
      <c r="N205" t="s">
        <v>299</v>
      </c>
      <c r="O205" s="1">
        <v>43190</v>
      </c>
      <c r="P205">
        <v>3265</v>
      </c>
    </row>
    <row r="206" spans="1:16" x14ac:dyDescent="0.2">
      <c r="A206" s="4" t="s">
        <v>482</v>
      </c>
      <c r="B206" s="4" t="str">
        <f>IF(Table1[[#This Row],[ann_name]]="","","x")</f>
        <v/>
      </c>
      <c r="C206" t="s">
        <v>440</v>
      </c>
      <c r="D206" t="s">
        <v>441</v>
      </c>
      <c r="E206" t="s">
        <v>442</v>
      </c>
      <c r="F206" t="s">
        <v>443</v>
      </c>
      <c r="G206" t="s">
        <v>34</v>
      </c>
      <c r="H206" t="s">
        <v>18</v>
      </c>
      <c r="J206" t="s">
        <v>444</v>
      </c>
      <c r="K206" s="1">
        <v>44831</v>
      </c>
      <c r="L206">
        <v>24</v>
      </c>
      <c r="M206">
        <v>42827319</v>
      </c>
    </row>
    <row r="207" spans="1:16" x14ac:dyDescent="0.2">
      <c r="A207" s="4" t="s">
        <v>482</v>
      </c>
      <c r="B207" s="4" t="str">
        <f>IF(Table1[[#This Row],[ann_name]]="","","x")</f>
        <v>x</v>
      </c>
      <c r="C207" t="s">
        <v>445</v>
      </c>
      <c r="D207" t="s">
        <v>446</v>
      </c>
      <c r="E207" t="s">
        <v>532</v>
      </c>
      <c r="F207" t="s">
        <v>448</v>
      </c>
      <c r="G207" t="s">
        <v>17</v>
      </c>
      <c r="H207" t="s">
        <v>18</v>
      </c>
      <c r="I207" t="s">
        <v>447</v>
      </c>
      <c r="J207" t="s">
        <v>449</v>
      </c>
      <c r="K207" s="1">
        <v>39311</v>
      </c>
      <c r="L207">
        <v>281</v>
      </c>
      <c r="M207">
        <v>14674591</v>
      </c>
      <c r="N207" t="s">
        <v>450</v>
      </c>
      <c r="O207" s="1">
        <v>42577</v>
      </c>
      <c r="P207">
        <v>5767</v>
      </c>
    </row>
    <row r="208" spans="1:16" hidden="1" x14ac:dyDescent="0.2">
      <c r="B208" s="4" t="str">
        <f>IF(Table1[[#This Row],[ann_name]]="","","x")</f>
        <v>x</v>
      </c>
      <c r="C208" t="s">
        <v>445</v>
      </c>
      <c r="D208" t="s">
        <v>446</v>
      </c>
      <c r="E208" t="s">
        <v>447</v>
      </c>
      <c r="F208" t="s">
        <v>448</v>
      </c>
      <c r="G208" t="s">
        <v>17</v>
      </c>
      <c r="H208" t="s">
        <v>18</v>
      </c>
      <c r="I208" t="s">
        <v>532</v>
      </c>
      <c r="J208" t="s">
        <v>449</v>
      </c>
      <c r="K208" s="1">
        <v>39311</v>
      </c>
      <c r="L208">
        <v>281</v>
      </c>
      <c r="M208">
        <v>14674591</v>
      </c>
      <c r="N208" t="s">
        <v>450</v>
      </c>
      <c r="O208" s="1">
        <v>45630</v>
      </c>
      <c r="P208">
        <v>5764</v>
      </c>
    </row>
    <row r="209" spans="1:16" x14ac:dyDescent="0.2">
      <c r="A209" s="4" t="s">
        <v>482</v>
      </c>
      <c r="B209" s="4" t="str">
        <f>IF(Table1[[#This Row],[ann_name]]="","","x")</f>
        <v/>
      </c>
      <c r="C209" t="s">
        <v>451</v>
      </c>
      <c r="D209" t="s">
        <v>452</v>
      </c>
      <c r="E209" t="s">
        <v>453</v>
      </c>
      <c r="F209" t="s">
        <v>454</v>
      </c>
      <c r="G209" t="s">
        <v>17</v>
      </c>
      <c r="H209" t="s">
        <v>18</v>
      </c>
      <c r="J209" t="s">
        <v>455</v>
      </c>
      <c r="K209" s="1">
        <v>43103</v>
      </c>
      <c r="L209">
        <v>20</v>
      </c>
      <c r="M209">
        <v>36468503</v>
      </c>
    </row>
    <row r="210" spans="1:16" x14ac:dyDescent="0.2">
      <c r="A210" s="4" t="s">
        <v>482</v>
      </c>
      <c r="B210" s="4" t="str">
        <f>IF(Table1[[#This Row],[ann_name]]="","","x")</f>
        <v>x</v>
      </c>
      <c r="C210" t="s">
        <v>456</v>
      </c>
      <c r="D210" t="s">
        <v>457</v>
      </c>
      <c r="E210" t="s">
        <v>533</v>
      </c>
      <c r="F210" t="s">
        <v>459</v>
      </c>
      <c r="G210" t="s">
        <v>17</v>
      </c>
      <c r="H210" t="s">
        <v>18</v>
      </c>
      <c r="I210" t="s">
        <v>458</v>
      </c>
      <c r="J210" t="s">
        <v>154</v>
      </c>
      <c r="K210" s="1">
        <v>40801</v>
      </c>
      <c r="L210">
        <v>8</v>
      </c>
      <c r="M210">
        <v>33828453</v>
      </c>
      <c r="N210" t="s">
        <v>155</v>
      </c>
      <c r="O210" s="1">
        <v>42577</v>
      </c>
      <c r="P210">
        <v>10811</v>
      </c>
    </row>
    <row r="211" spans="1:16" hidden="1" x14ac:dyDescent="0.2">
      <c r="B211" s="4" t="str">
        <f>IF(Table1[[#This Row],[ann_name]]="","","x")</f>
        <v>x</v>
      </c>
      <c r="C211" t="s">
        <v>456</v>
      </c>
      <c r="D211" t="s">
        <v>457</v>
      </c>
      <c r="E211" t="s">
        <v>458</v>
      </c>
      <c r="F211" t="s">
        <v>459</v>
      </c>
      <c r="G211" t="s">
        <v>17</v>
      </c>
      <c r="H211" t="s">
        <v>18</v>
      </c>
      <c r="I211" t="s">
        <v>533</v>
      </c>
      <c r="J211" t="s">
        <v>154</v>
      </c>
      <c r="K211" s="1">
        <v>40801</v>
      </c>
      <c r="L211">
        <v>8</v>
      </c>
      <c r="M211">
        <v>33828453</v>
      </c>
      <c r="N211" t="s">
        <v>155</v>
      </c>
      <c r="O211" s="1">
        <v>43860</v>
      </c>
      <c r="P211">
        <v>10811</v>
      </c>
    </row>
    <row r="212" spans="1:16" x14ac:dyDescent="0.2">
      <c r="A212" s="4" t="s">
        <v>482</v>
      </c>
      <c r="B212" s="4" t="str">
        <f>IF(Table1[[#This Row],[ann_name]]="","","x")</f>
        <v>x</v>
      </c>
      <c r="C212" t="s">
        <v>460</v>
      </c>
      <c r="D212" t="s">
        <v>461</v>
      </c>
      <c r="E212" t="s">
        <v>534</v>
      </c>
      <c r="F212" t="s">
        <v>463</v>
      </c>
      <c r="G212" t="s">
        <v>17</v>
      </c>
      <c r="H212" t="s">
        <v>18</v>
      </c>
      <c r="I212" t="s">
        <v>462</v>
      </c>
      <c r="J212" t="s">
        <v>464</v>
      </c>
      <c r="K212" s="1">
        <v>43417</v>
      </c>
      <c r="L212">
        <v>628</v>
      </c>
      <c r="M212">
        <v>31747483</v>
      </c>
      <c r="N212" t="s">
        <v>465</v>
      </c>
      <c r="O212" s="1">
        <v>43886</v>
      </c>
      <c r="P212">
        <v>9627</v>
      </c>
    </row>
    <row r="213" spans="1:16" hidden="1" x14ac:dyDescent="0.2">
      <c r="B213" s="4" t="str">
        <f>IF(Table1[[#This Row],[ann_name]]="","","x")</f>
        <v>x</v>
      </c>
      <c r="C213" t="s">
        <v>460</v>
      </c>
      <c r="D213" t="s">
        <v>461</v>
      </c>
      <c r="E213" t="s">
        <v>462</v>
      </c>
      <c r="F213" t="s">
        <v>463</v>
      </c>
      <c r="G213" t="s">
        <v>17</v>
      </c>
      <c r="H213" t="s">
        <v>18</v>
      </c>
      <c r="I213" t="s">
        <v>534</v>
      </c>
      <c r="J213" t="s">
        <v>464</v>
      </c>
      <c r="K213" s="1">
        <v>43417</v>
      </c>
      <c r="L213">
        <v>628</v>
      </c>
      <c r="M213">
        <v>31747483</v>
      </c>
      <c r="N213" t="s">
        <v>465</v>
      </c>
      <c r="O213" s="1">
        <v>45289</v>
      </c>
      <c r="P213">
        <v>9626</v>
      </c>
    </row>
    <row r="214" spans="1:16" x14ac:dyDescent="0.2">
      <c r="A214" s="4" t="s">
        <v>482</v>
      </c>
      <c r="B214" s="4" t="str">
        <f>IF(Table1[[#This Row],[ann_name]]="","","x")</f>
        <v/>
      </c>
      <c r="C214" t="s">
        <v>466</v>
      </c>
      <c r="D214" t="s">
        <v>467</v>
      </c>
      <c r="E214" t="s">
        <v>468</v>
      </c>
      <c r="F214" t="s">
        <v>469</v>
      </c>
      <c r="G214" t="s">
        <v>17</v>
      </c>
      <c r="H214" t="s">
        <v>18</v>
      </c>
      <c r="J214" t="s">
        <v>470</v>
      </c>
      <c r="K214" s="1">
        <v>41365</v>
      </c>
      <c r="L214">
        <v>62</v>
      </c>
      <c r="M214">
        <v>35720033</v>
      </c>
    </row>
    <row r="215" spans="1:16" x14ac:dyDescent="0.2">
      <c r="A215" s="4" t="s">
        <v>482</v>
      </c>
      <c r="B215" s="4" t="str">
        <f>IF(Table1[[#This Row],[ann_name]]="","","x")</f>
        <v>x</v>
      </c>
      <c r="C215" t="s">
        <v>471</v>
      </c>
      <c r="D215" t="s">
        <v>472</v>
      </c>
      <c r="E215" t="s">
        <v>535</v>
      </c>
      <c r="F215" t="s">
        <v>474</v>
      </c>
      <c r="G215" t="s">
        <v>40</v>
      </c>
      <c r="H215" t="s">
        <v>18</v>
      </c>
      <c r="I215" t="s">
        <v>473</v>
      </c>
      <c r="J215" t="s">
        <v>475</v>
      </c>
      <c r="K215" s="1">
        <v>42655</v>
      </c>
      <c r="L215">
        <v>6</v>
      </c>
      <c r="M215">
        <v>20500066</v>
      </c>
      <c r="N215" t="s">
        <v>476</v>
      </c>
      <c r="O215" s="1">
        <v>42668</v>
      </c>
      <c r="P215">
        <v>8746</v>
      </c>
    </row>
    <row r="216" spans="1:16" hidden="1" x14ac:dyDescent="0.2">
      <c r="B216" s="4" t="str">
        <f>IF(Table1[[#This Row],[ann_name]]="","","x")</f>
        <v>x</v>
      </c>
      <c r="C216" t="s">
        <v>471</v>
      </c>
      <c r="D216" t="s">
        <v>472</v>
      </c>
      <c r="E216" t="s">
        <v>473</v>
      </c>
      <c r="F216" t="s">
        <v>474</v>
      </c>
      <c r="G216" t="s">
        <v>40</v>
      </c>
      <c r="H216" t="s">
        <v>18</v>
      </c>
      <c r="I216" t="s">
        <v>535</v>
      </c>
      <c r="J216" t="s">
        <v>475</v>
      </c>
      <c r="K216" s="1">
        <v>42655</v>
      </c>
      <c r="L216">
        <v>6</v>
      </c>
      <c r="M216">
        <v>20500066</v>
      </c>
      <c r="N216" t="s">
        <v>476</v>
      </c>
      <c r="O216" s="1">
        <v>45545</v>
      </c>
      <c r="P216">
        <v>8689</v>
      </c>
    </row>
    <row r="217" spans="1:16" x14ac:dyDescent="0.2">
      <c r="A217" s="4" t="s">
        <v>482</v>
      </c>
      <c r="B217" s="4" t="str">
        <f>IF(Table1[[#This Row],[ann_name]]="","","x")</f>
        <v>x</v>
      </c>
      <c r="C217" t="s">
        <v>477</v>
      </c>
      <c r="D217" t="s">
        <v>478</v>
      </c>
      <c r="E217" t="s">
        <v>536</v>
      </c>
      <c r="F217" t="s">
        <v>480</v>
      </c>
      <c r="G217" t="s">
        <v>23</v>
      </c>
      <c r="H217" t="s">
        <v>18</v>
      </c>
      <c r="I217" t="s">
        <v>479</v>
      </c>
      <c r="J217" t="s">
        <v>29</v>
      </c>
      <c r="K217" s="1">
        <v>40730</v>
      </c>
      <c r="L217">
        <v>21</v>
      </c>
      <c r="M217">
        <v>39686251</v>
      </c>
      <c r="N217" t="s">
        <v>70</v>
      </c>
      <c r="O217" s="1">
        <v>42576</v>
      </c>
      <c r="P217">
        <v>10964</v>
      </c>
    </row>
    <row r="218" spans="1:16" hidden="1" x14ac:dyDescent="0.2">
      <c r="B218" s="4" t="str">
        <f>IF(Table1[[#This Row],[ann_name]]="","","x")</f>
        <v>x</v>
      </c>
      <c r="C218" t="s">
        <v>477</v>
      </c>
      <c r="D218" t="s">
        <v>478</v>
      </c>
      <c r="E218" t="s">
        <v>479</v>
      </c>
      <c r="F218" t="s">
        <v>480</v>
      </c>
      <c r="G218" t="s">
        <v>23</v>
      </c>
      <c r="H218" t="s">
        <v>18</v>
      </c>
      <c r="I218" t="s">
        <v>536</v>
      </c>
      <c r="J218" t="s">
        <v>29</v>
      </c>
      <c r="K218" s="1">
        <v>40730</v>
      </c>
      <c r="L218">
        <v>21</v>
      </c>
      <c r="M218">
        <v>39686251</v>
      </c>
      <c r="N218" t="s">
        <v>70</v>
      </c>
      <c r="O218" s="1">
        <v>43868</v>
      </c>
      <c r="P218">
        <v>10942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01out-selected_genomes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Johnson</dc:creator>
  <cp:lastModifiedBy>Nathan Johnson</cp:lastModifiedBy>
  <dcterms:created xsi:type="dcterms:W3CDTF">2025-04-14T20:18:06Z</dcterms:created>
  <dcterms:modified xsi:type="dcterms:W3CDTF">2025-04-25T20:17:50Z</dcterms:modified>
</cp:coreProperties>
</file>